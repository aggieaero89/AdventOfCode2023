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dawn\Downloads\AoC 2023\Day5\"/>
    </mc:Choice>
  </mc:AlternateContent>
  <xr:revisionPtr revIDLastSave="0" documentId="13_ncr:1_{FC1FDEC4-21ED-457A-81E4-FC1CB2A4B92A}" xr6:coauthVersionLast="47" xr6:coauthVersionMax="47" xr10:uidLastSave="{00000000-0000-0000-0000-000000000000}"/>
  <bookViews>
    <workbookView xWindow="15390" yWindow="16080" windowWidth="29040" windowHeight="15840" activeTab="2" xr2:uid="{661DFA45-0C98-4991-AEF7-9B511AA0BE2E}"/>
  </bookViews>
  <sheets>
    <sheet name="Sample1" sheetId="2" r:id="rId1"/>
    <sheet name="Sample2" sheetId="12" r:id="rId2"/>
    <sheet name="Sample2 (manual)" sheetId="13" r:id="rId3"/>
    <sheet name="Part1" sheetId="1" r:id="rId4"/>
    <sheet name="Part2" sheetId="11" r:id="rId5"/>
    <sheet name="Part2 best (manual)" sheetId="9" r:id="rId6"/>
    <sheet name="Part2 nxt best (solved)" sheetId="10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0" i="13" l="1"/>
  <c r="N20" i="13" s="1"/>
  <c r="N29" i="13"/>
  <c r="M5" i="13"/>
  <c r="N5" i="13" s="1"/>
  <c r="N9" i="13"/>
  <c r="M9" i="13"/>
  <c r="N15" i="13"/>
  <c r="M15" i="13"/>
  <c r="N23" i="13"/>
  <c r="M6" i="13"/>
  <c r="N6" i="13" s="1"/>
  <c r="N10" i="13"/>
  <c r="M10" i="13"/>
  <c r="N16" i="13"/>
  <c r="M16" i="13"/>
  <c r="M21" i="13"/>
  <c r="N21" i="13" s="1"/>
  <c r="M25" i="13"/>
  <c r="N25" i="13" s="1"/>
  <c r="M23" i="13"/>
  <c r="M29" i="13"/>
  <c r="N28" i="13"/>
  <c r="M28" i="13"/>
  <c r="N33" i="13"/>
  <c r="M33" i="13"/>
  <c r="B33" i="13" a="1"/>
  <c r="B33" i="13" s="1"/>
  <c r="I33" i="13" s="1"/>
  <c r="B32" i="13" a="1"/>
  <c r="F32" i="13" s="1"/>
  <c r="B29" i="13" a="1"/>
  <c r="B29" i="13" s="1"/>
  <c r="I29" i="13" s="1"/>
  <c r="E28" i="13"/>
  <c r="B28" i="13" a="1"/>
  <c r="F28" i="13" s="1"/>
  <c r="B24" i="13" a="1"/>
  <c r="B24" i="13" s="1"/>
  <c r="I24" i="13" s="1"/>
  <c r="B25" i="13" a="1"/>
  <c r="E25" i="13" s="1"/>
  <c r="G25" i="13" s="1"/>
  <c r="B25" i="13"/>
  <c r="F25" i="13"/>
  <c r="I25" i="13"/>
  <c r="J25" i="13" s="1"/>
  <c r="B23" i="13" a="1"/>
  <c r="F23" i="13" s="1"/>
  <c r="B20" i="13" a="1"/>
  <c r="B20" i="13" s="1"/>
  <c r="I20" i="13" s="1"/>
  <c r="I19" i="13"/>
  <c r="J19" i="13" s="1"/>
  <c r="E19" i="13"/>
  <c r="G19" i="13" s="1"/>
  <c r="B19" i="13"/>
  <c r="B19" i="13" a="1"/>
  <c r="F19" i="13" s="1"/>
  <c r="B14" i="13" a="1"/>
  <c r="B14" i="13" s="1"/>
  <c r="I14" i="13" s="1"/>
  <c r="B15" i="13" a="1"/>
  <c r="B15" i="13"/>
  <c r="E15" i="13"/>
  <c r="F15" i="13"/>
  <c r="G15" i="13"/>
  <c r="I15" i="13"/>
  <c r="J15" i="13"/>
  <c r="B16" i="13" a="1"/>
  <c r="B16" i="13" s="1"/>
  <c r="I16" i="13" s="1"/>
  <c r="B13" i="13" a="1"/>
  <c r="B13" i="13" s="1"/>
  <c r="I13" i="13" s="1"/>
  <c r="B9" i="13" a="1"/>
  <c r="B9" i="13" s="1"/>
  <c r="I9" i="13" s="1"/>
  <c r="B10" i="13" a="1"/>
  <c r="B10" i="13" s="1"/>
  <c r="I10" i="13" s="1"/>
  <c r="B8" i="13" a="1"/>
  <c r="F8" i="13" s="1"/>
  <c r="B5" i="13" a="1"/>
  <c r="F5" i="13" s="1"/>
  <c r="B5" i="13"/>
  <c r="E5" i="13"/>
  <c r="G5" i="13" s="1"/>
  <c r="I5" i="13"/>
  <c r="J5" i="13" s="1"/>
  <c r="B4" i="13" a="1"/>
  <c r="F4" i="13" s="1"/>
  <c r="N5" i="9"/>
  <c r="M5" i="9"/>
  <c r="N29" i="9"/>
  <c r="M29" i="9"/>
  <c r="M39" i="9"/>
  <c r="N39" i="9" s="1"/>
  <c r="N85" i="9"/>
  <c r="M85" i="9"/>
  <c r="N123" i="9"/>
  <c r="M123" i="9"/>
  <c r="M144" i="9"/>
  <c r="N144" i="9" s="1"/>
  <c r="N171" i="9"/>
  <c r="M171" i="9"/>
  <c r="Y19" i="10"/>
  <c r="Y20" i="10"/>
  <c r="Y21" i="10"/>
  <c r="Y22" i="10"/>
  <c r="Y23" i="10"/>
  <c r="Y24" i="10"/>
  <c r="Y25" i="10"/>
  <c r="Y26" i="10"/>
  <c r="Y27" i="10"/>
  <c r="Y28" i="10"/>
  <c r="Y29" i="10"/>
  <c r="Y30" i="10"/>
  <c r="Y31" i="10"/>
  <c r="Y32" i="10"/>
  <c r="Y33" i="10"/>
  <c r="Y34" i="10"/>
  <c r="Y35" i="10"/>
  <c r="Y36" i="10"/>
  <c r="Y37" i="10"/>
  <c r="Y18" i="10"/>
  <c r="W19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W33" i="10"/>
  <c r="W34" i="10"/>
  <c r="W35" i="10"/>
  <c r="W36" i="10"/>
  <c r="W37" i="10"/>
  <c r="W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18" i="10"/>
  <c r="M7" i="10"/>
  <c r="N7" i="10" s="1"/>
  <c r="M9" i="10"/>
  <c r="N9" i="10" s="1"/>
  <c r="M5" i="10"/>
  <c r="N5" i="10" s="1"/>
  <c r="M10" i="10"/>
  <c r="N10" i="10" s="1"/>
  <c r="M14" i="10"/>
  <c r="N14" i="10" s="1"/>
  <c r="N25" i="10"/>
  <c r="M25" i="10"/>
  <c r="N27" i="10"/>
  <c r="M27" i="10"/>
  <c r="N26" i="10"/>
  <c r="M26" i="10"/>
  <c r="N22" i="10"/>
  <c r="M22" i="10"/>
  <c r="N32" i="10"/>
  <c r="M32" i="10"/>
  <c r="N63" i="10"/>
  <c r="M63" i="10"/>
  <c r="M52" i="10"/>
  <c r="N52" i="10"/>
  <c r="N39" i="10"/>
  <c r="M39" i="10"/>
  <c r="N47" i="10"/>
  <c r="M47" i="10"/>
  <c r="N46" i="10"/>
  <c r="M46" i="10"/>
  <c r="N85" i="10"/>
  <c r="M85" i="10"/>
  <c r="M82" i="10"/>
  <c r="N82" i="10" s="1"/>
  <c r="M81" i="10"/>
  <c r="N81" i="10" s="1"/>
  <c r="N78" i="10"/>
  <c r="M78" i="10"/>
  <c r="N168" i="10"/>
  <c r="M168" i="10"/>
  <c r="M116" i="10"/>
  <c r="N116" i="10"/>
  <c r="L116" i="10"/>
  <c r="K116" i="10"/>
  <c r="M122" i="10"/>
  <c r="N122" i="10" s="1"/>
  <c r="L122" i="10"/>
  <c r="K122" i="10"/>
  <c r="M109" i="10"/>
  <c r="N106" i="10"/>
  <c r="L109" i="10"/>
  <c r="N150" i="10"/>
  <c r="M150" i="10"/>
  <c r="N132" i="10"/>
  <c r="M132" i="10"/>
  <c r="N142" i="10"/>
  <c r="M142" i="10"/>
  <c r="L150" i="10"/>
  <c r="K150" i="10"/>
  <c r="L142" i="10"/>
  <c r="K142" i="10"/>
  <c r="L132" i="10"/>
  <c r="K132" i="10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F188" i="10"/>
  <c r="B188" i="10" a="1"/>
  <c r="B187" i="10" a="1"/>
  <c r="B186" i="10" a="1"/>
  <c r="B186" i="10" s="1"/>
  <c r="I186" i="10" s="1"/>
  <c r="B185" i="10" a="1"/>
  <c r="B184" i="10" a="1"/>
  <c r="F184" i="10" s="1"/>
  <c r="B183" i="10" a="1"/>
  <c r="B183" i="10" s="1"/>
  <c r="I183" i="10" s="1"/>
  <c r="F182" i="10"/>
  <c r="E182" i="10"/>
  <c r="G182" i="10" s="1"/>
  <c r="B182" i="10"/>
  <c r="I182" i="10" s="1"/>
  <c r="B182" i="10" a="1"/>
  <c r="E181" i="10"/>
  <c r="B181" i="10" a="1"/>
  <c r="F181" i="10" s="1"/>
  <c r="B180" i="10" a="1"/>
  <c r="B180" i="10" s="1"/>
  <c r="I180" i="10" s="1"/>
  <c r="F179" i="10"/>
  <c r="E179" i="10"/>
  <c r="G179" i="10" s="1"/>
  <c r="B179" i="10"/>
  <c r="I179" i="10" s="1"/>
  <c r="J179" i="10" s="1"/>
  <c r="B179" i="10" a="1"/>
  <c r="B178" i="10" a="1"/>
  <c r="F178" i="10" s="1"/>
  <c r="B177" i="10" a="1"/>
  <c r="F177" i="10" s="1"/>
  <c r="B176" i="10" a="1"/>
  <c r="B176" i="10" s="1"/>
  <c r="I176" i="10" s="1"/>
  <c r="B175" i="10" a="1"/>
  <c r="F174" i="10"/>
  <c r="E174" i="10"/>
  <c r="B174" i="10" a="1"/>
  <c r="B174" i="10" s="1"/>
  <c r="I174" i="10" s="1"/>
  <c r="J174" i="10" s="1"/>
  <c r="B173" i="10" a="1"/>
  <c r="F173" i="10" s="1"/>
  <c r="B172" i="10" a="1"/>
  <c r="F172" i="10" s="1"/>
  <c r="B171" i="10" a="1"/>
  <c r="B171" i="10" s="1"/>
  <c r="I171" i="10" s="1"/>
  <c r="B170" i="10" a="1"/>
  <c r="B169" i="10" a="1"/>
  <c r="F169" i="10" s="1"/>
  <c r="B168" i="10" a="1"/>
  <c r="E168" i="10" s="1"/>
  <c r="B167" i="10" a="1"/>
  <c r="E167" i="10" s="1"/>
  <c r="F166" i="10"/>
  <c r="B166" i="10" a="1"/>
  <c r="E166" i="10" s="1"/>
  <c r="G166" i="10" s="1"/>
  <c r="B165" i="10" a="1"/>
  <c r="F165" i="10" s="1"/>
  <c r="B162" i="10" a="1"/>
  <c r="B161" i="10" a="1"/>
  <c r="B160" i="10" a="1"/>
  <c r="B160" i="10" s="1"/>
  <c r="I160" i="10" s="1"/>
  <c r="B159" i="10" a="1"/>
  <c r="F159" i="10" s="1"/>
  <c r="B158" i="10" a="1"/>
  <c r="F158" i="10" s="1"/>
  <c r="B157" i="10" a="1"/>
  <c r="F157" i="10" s="1"/>
  <c r="B156" i="10" a="1"/>
  <c r="B156" i="10" s="1"/>
  <c r="I156" i="10" s="1"/>
  <c r="B155" i="10" a="1"/>
  <c r="F155" i="10" s="1"/>
  <c r="B154" i="10" a="1"/>
  <c r="F154" i="10" s="1"/>
  <c r="B153" i="10" a="1"/>
  <c r="E153" i="10" s="1"/>
  <c r="F152" i="10"/>
  <c r="E152" i="10"/>
  <c r="G152" i="10" s="1"/>
  <c r="B152" i="10" a="1"/>
  <c r="B152" i="10" s="1"/>
  <c r="I152" i="10" s="1"/>
  <c r="J152" i="10" s="1"/>
  <c r="B151" i="10" a="1"/>
  <c r="F151" i="10" s="1"/>
  <c r="F150" i="10"/>
  <c r="E150" i="10"/>
  <c r="G150" i="10" s="1"/>
  <c r="B150" i="10" a="1"/>
  <c r="B150" i="10" s="1"/>
  <c r="I150" i="10" s="1"/>
  <c r="J150" i="10" s="1"/>
  <c r="B149" i="10" a="1"/>
  <c r="B149" i="10" s="1"/>
  <c r="I149" i="10" s="1"/>
  <c r="B148" i="10" a="1"/>
  <c r="B148" i="10" s="1"/>
  <c r="I148" i="10" s="1"/>
  <c r="F147" i="10"/>
  <c r="E147" i="10"/>
  <c r="G147" i="10" s="1"/>
  <c r="B147" i="10"/>
  <c r="I147" i="10" s="1"/>
  <c r="J147" i="10" s="1"/>
  <c r="B147" i="10" a="1"/>
  <c r="B146" i="10" a="1"/>
  <c r="F146" i="10" s="1"/>
  <c r="B145" i="10" a="1"/>
  <c r="B145" i="10" s="1"/>
  <c r="I145" i="10" s="1"/>
  <c r="B144" i="10" a="1"/>
  <c r="E144" i="10" s="1"/>
  <c r="F143" i="10"/>
  <c r="E143" i="10"/>
  <c r="B143" i="10" a="1"/>
  <c r="B143" i="10" s="1"/>
  <c r="I143" i="10" s="1"/>
  <c r="B142" i="10" a="1"/>
  <c r="F142" i="10" s="1"/>
  <c r="B141" i="10" a="1"/>
  <c r="B140" i="10" a="1"/>
  <c r="F140" i="10" s="1"/>
  <c r="B139" i="10" a="1"/>
  <c r="F139" i="10" s="1"/>
  <c r="B138" i="10" a="1"/>
  <c r="F138" i="10" s="1"/>
  <c r="B137" i="10" a="1"/>
  <c r="F137" i="10" s="1"/>
  <c r="F136" i="10"/>
  <c r="G136" i="10" s="1"/>
  <c r="E136" i="10"/>
  <c r="B136" i="10" a="1"/>
  <c r="B136" i="10" s="1"/>
  <c r="I136" i="10" s="1"/>
  <c r="J136" i="10" s="1"/>
  <c r="B135" i="10" a="1"/>
  <c r="F135" i="10" s="1"/>
  <c r="B134" i="10" a="1"/>
  <c r="F134" i="10" s="1"/>
  <c r="B133" i="10" a="1"/>
  <c r="F132" i="10"/>
  <c r="E132" i="10"/>
  <c r="B132" i="10" a="1"/>
  <c r="B132" i="10" s="1"/>
  <c r="I132" i="10" s="1"/>
  <c r="B129" i="10" a="1"/>
  <c r="F129" i="10" s="1"/>
  <c r="B128" i="10" a="1"/>
  <c r="E128" i="10" s="1"/>
  <c r="B127" i="10" a="1"/>
  <c r="B127" i="10" s="1"/>
  <c r="I127" i="10" s="1"/>
  <c r="F126" i="10"/>
  <c r="E126" i="10"/>
  <c r="B126" i="10" a="1"/>
  <c r="B126" i="10" s="1"/>
  <c r="I126" i="10" s="1"/>
  <c r="B125" i="10" a="1"/>
  <c r="F125" i="10" s="1"/>
  <c r="F124" i="10"/>
  <c r="E124" i="10"/>
  <c r="G124" i="10" s="1"/>
  <c r="B124" i="10"/>
  <c r="I124" i="10" s="1"/>
  <c r="B124" i="10" a="1"/>
  <c r="G123" i="10"/>
  <c r="E123" i="10"/>
  <c r="B123" i="10"/>
  <c r="I123" i="10" s="1"/>
  <c r="J123" i="10" s="1"/>
  <c r="B123" i="10" a="1"/>
  <c r="F123" i="10" s="1"/>
  <c r="B122" i="10" a="1"/>
  <c r="B121" i="10" a="1"/>
  <c r="F121" i="10" s="1"/>
  <c r="B120" i="10" a="1"/>
  <c r="B120" i="10" s="1"/>
  <c r="I120" i="10" s="1"/>
  <c r="B119" i="10" a="1"/>
  <c r="F119" i="10" s="1"/>
  <c r="B118" i="10" a="1"/>
  <c r="F118" i="10" s="1"/>
  <c r="B117" i="10" a="1"/>
  <c r="B117" i="10" s="1"/>
  <c r="I117" i="10" s="1"/>
  <c r="I116" i="10"/>
  <c r="E116" i="10"/>
  <c r="B116" i="10" a="1"/>
  <c r="B116" i="10" s="1"/>
  <c r="B115" i="10" a="1"/>
  <c r="F115" i="10" s="1"/>
  <c r="F114" i="10"/>
  <c r="E114" i="10"/>
  <c r="G114" i="10" s="1"/>
  <c r="B114" i="10" a="1"/>
  <c r="B114" i="10" s="1"/>
  <c r="I114" i="10" s="1"/>
  <c r="B113" i="10" a="1"/>
  <c r="B113" i="10" s="1"/>
  <c r="I113" i="10" s="1"/>
  <c r="B112" i="10" a="1"/>
  <c r="B111" i="10" a="1"/>
  <c r="B110" i="10" a="1"/>
  <c r="E110" i="10" s="1"/>
  <c r="F109" i="10"/>
  <c r="G109" i="10" s="1"/>
  <c r="N109" i="10" s="1"/>
  <c r="E109" i="10"/>
  <c r="B109" i="10" a="1"/>
  <c r="B109" i="10" s="1"/>
  <c r="I109" i="10" s="1"/>
  <c r="J109" i="10" s="1"/>
  <c r="B108" i="10" a="1"/>
  <c r="E108" i="10" s="1"/>
  <c r="B107" i="10" a="1"/>
  <c r="B106" i="10" a="1"/>
  <c r="B105" i="10" a="1"/>
  <c r="B104" i="10" a="1"/>
  <c r="E103" i="10"/>
  <c r="G103" i="10" s="1"/>
  <c r="B103" i="10" a="1"/>
  <c r="F103" i="10" s="1"/>
  <c r="B102" i="10" a="1"/>
  <c r="F102" i="10" s="1"/>
  <c r="F101" i="10"/>
  <c r="B101" i="10" a="1"/>
  <c r="E101" i="10" s="1"/>
  <c r="B98" i="10" a="1"/>
  <c r="F98" i="10" s="1"/>
  <c r="B97" i="10" a="1"/>
  <c r="F97" i="10" s="1"/>
  <c r="F96" i="10"/>
  <c r="B96" i="10" a="1"/>
  <c r="E96" i="10" s="1"/>
  <c r="B95" i="10" a="1"/>
  <c r="E95" i="10" s="1"/>
  <c r="F94" i="10"/>
  <c r="E94" i="10"/>
  <c r="G94" i="10" s="1"/>
  <c r="B94" i="10"/>
  <c r="I94" i="10" s="1"/>
  <c r="J94" i="10" s="1"/>
  <c r="B94" i="10" a="1"/>
  <c r="B93" i="10" a="1"/>
  <c r="I92" i="10"/>
  <c r="J92" i="10" s="1"/>
  <c r="F92" i="10"/>
  <c r="E92" i="10"/>
  <c r="B92" i="10"/>
  <c r="B92" i="10" a="1"/>
  <c r="B91" i="10" a="1"/>
  <c r="B91" i="10" s="1"/>
  <c r="I91" i="10" s="1"/>
  <c r="B90" i="10" a="1"/>
  <c r="F90" i="10" s="1"/>
  <c r="B89" i="10" a="1"/>
  <c r="B88" i="10" a="1"/>
  <c r="F88" i="10" s="1"/>
  <c r="B87" i="10" a="1"/>
  <c r="B87" i="10" s="1"/>
  <c r="I87" i="10" s="1"/>
  <c r="B86" i="10" a="1"/>
  <c r="B85" i="10" a="1"/>
  <c r="J84" i="10"/>
  <c r="I84" i="10"/>
  <c r="F84" i="10"/>
  <c r="E84" i="10"/>
  <c r="B84" i="10"/>
  <c r="B84" i="10" a="1"/>
  <c r="B83" i="10" a="1"/>
  <c r="B82" i="10" a="1"/>
  <c r="B82" i="10" s="1"/>
  <c r="I82" i="10" s="1"/>
  <c r="B81" i="10" a="1"/>
  <c r="B81" i="10" s="1"/>
  <c r="I81" i="10" s="1"/>
  <c r="F80" i="10"/>
  <c r="B80" i="10" a="1"/>
  <c r="E80" i="10" s="1"/>
  <c r="G80" i="10" s="1"/>
  <c r="B79" i="10" a="1"/>
  <c r="B79" i="10" s="1"/>
  <c r="I79" i="10" s="1"/>
  <c r="I78" i="10"/>
  <c r="E78" i="10"/>
  <c r="B78" i="10" a="1"/>
  <c r="B78" i="10" s="1"/>
  <c r="F77" i="10"/>
  <c r="B77" i="10" a="1"/>
  <c r="B77" i="10" s="1"/>
  <c r="I77" i="10" s="1"/>
  <c r="B76" i="10" a="1"/>
  <c r="B75" i="10" a="1"/>
  <c r="F75" i="10" s="1"/>
  <c r="B72" i="10" a="1"/>
  <c r="E72" i="10" s="1"/>
  <c r="B71" i="10" a="1"/>
  <c r="B71" i="10" s="1"/>
  <c r="I71" i="10" s="1"/>
  <c r="I70" i="10"/>
  <c r="B70" i="10" a="1"/>
  <c r="B70" i="10" s="1"/>
  <c r="B69" i="10" a="1"/>
  <c r="F69" i="10" s="1"/>
  <c r="B68" i="10" a="1"/>
  <c r="B67" i="10" a="1"/>
  <c r="F67" i="10" s="1"/>
  <c r="B66" i="10" a="1"/>
  <c r="E66" i="10" s="1"/>
  <c r="B65" i="10" a="1"/>
  <c r="F65" i="10" s="1"/>
  <c r="B64" i="10" a="1"/>
  <c r="F64" i="10" s="1"/>
  <c r="I63" i="10"/>
  <c r="B63" i="10"/>
  <c r="B63" i="10" a="1"/>
  <c r="F62" i="10"/>
  <c r="B62" i="10" a="1"/>
  <c r="E62" i="10" s="1"/>
  <c r="G62" i="10" s="1"/>
  <c r="B61" i="10" a="1"/>
  <c r="F61" i="10" s="1"/>
  <c r="B60" i="10" a="1"/>
  <c r="F60" i="10" s="1"/>
  <c r="B59" i="10" a="1"/>
  <c r="B58" i="10" a="1"/>
  <c r="F58" i="10" s="1"/>
  <c r="B57" i="10" a="1"/>
  <c r="B56" i="10" a="1"/>
  <c r="F56" i="10" s="1"/>
  <c r="F55" i="10"/>
  <c r="B55" i="10" a="1"/>
  <c r="B55" i="10" s="1"/>
  <c r="I55" i="10" s="1"/>
  <c r="J55" i="10" s="1"/>
  <c r="F54" i="10"/>
  <c r="E54" i="10"/>
  <c r="G54" i="10" s="1"/>
  <c r="B54" i="10" a="1"/>
  <c r="B54" i="10" s="1"/>
  <c r="I54" i="10" s="1"/>
  <c r="J54" i="10" s="1"/>
  <c r="B53" i="10" a="1"/>
  <c r="E53" i="10" s="1"/>
  <c r="B52" i="10" a="1"/>
  <c r="F52" i="10" s="1"/>
  <c r="F51" i="10"/>
  <c r="J51" i="10" s="1"/>
  <c r="E51" i="10"/>
  <c r="G51" i="10" s="1"/>
  <c r="B51" i="10" a="1"/>
  <c r="B51" i="10" s="1"/>
  <c r="I51" i="10" s="1"/>
  <c r="B50" i="10" a="1"/>
  <c r="B49" i="10" a="1"/>
  <c r="F49" i="10" s="1"/>
  <c r="B48" i="10" a="1"/>
  <c r="E48" i="10" s="1"/>
  <c r="F47" i="10"/>
  <c r="E47" i="10"/>
  <c r="B47" i="10"/>
  <c r="I47" i="10" s="1"/>
  <c r="B47" i="10" a="1"/>
  <c r="B46" i="10" a="1"/>
  <c r="B45" i="10" a="1"/>
  <c r="F45" i="10" s="1"/>
  <c r="F44" i="10"/>
  <c r="B44" i="10" a="1"/>
  <c r="B43" i="10" a="1"/>
  <c r="B42" i="10" a="1"/>
  <c r="F42" i="10" s="1"/>
  <c r="B41" i="10" a="1"/>
  <c r="F41" i="10" s="1"/>
  <c r="B40" i="10" a="1"/>
  <c r="F40" i="10" s="1"/>
  <c r="B39" i="10" a="1"/>
  <c r="F39" i="10" s="1"/>
  <c r="I38" i="10"/>
  <c r="J38" i="10" s="1"/>
  <c r="F38" i="10"/>
  <c r="B38" i="10"/>
  <c r="B38" i="10" a="1"/>
  <c r="E38" i="10" s="1"/>
  <c r="G38" i="10" s="1"/>
  <c r="B37" i="10" a="1"/>
  <c r="B36" i="10" a="1"/>
  <c r="F36" i="10" s="1"/>
  <c r="B35" i="10" a="1"/>
  <c r="B35" i="10" s="1"/>
  <c r="I35" i="10" s="1"/>
  <c r="F32" i="10"/>
  <c r="E32" i="10"/>
  <c r="B32" i="10" a="1"/>
  <c r="B32" i="10" s="1"/>
  <c r="I32" i="10" s="1"/>
  <c r="J32" i="10" s="1"/>
  <c r="B31" i="10" a="1"/>
  <c r="B30" i="10" a="1"/>
  <c r="B29" i="10" a="1"/>
  <c r="F29" i="10" s="1"/>
  <c r="B28" i="10" a="1"/>
  <c r="F28" i="10" s="1"/>
  <c r="B27" i="10" a="1"/>
  <c r="I26" i="10"/>
  <c r="J26" i="10" s="1"/>
  <c r="F26" i="10"/>
  <c r="B26" i="10"/>
  <c r="B26" i="10" a="1"/>
  <c r="E26" i="10" s="1"/>
  <c r="G26" i="10" s="1"/>
  <c r="B25" i="10" a="1"/>
  <c r="B24" i="10" a="1"/>
  <c r="F24" i="10" s="1"/>
  <c r="I23" i="10"/>
  <c r="B23" i="10" a="1"/>
  <c r="B23" i="10" s="1"/>
  <c r="I22" i="10"/>
  <c r="J22" i="10" s="1"/>
  <c r="F22" i="10"/>
  <c r="E22" i="10"/>
  <c r="B22" i="10"/>
  <c r="B22" i="10" a="1"/>
  <c r="B21" i="10" a="1"/>
  <c r="F21" i="10" s="1"/>
  <c r="B18" i="10" a="1"/>
  <c r="F18" i="10" s="1"/>
  <c r="F17" i="10"/>
  <c r="J17" i="10" s="1"/>
  <c r="E17" i="10"/>
  <c r="G17" i="10" s="1"/>
  <c r="B17" i="10" a="1"/>
  <c r="B17" i="10" s="1"/>
  <c r="I17" i="10" s="1"/>
  <c r="B16" i="10" a="1"/>
  <c r="B15" i="10" a="1"/>
  <c r="B14" i="10" a="1"/>
  <c r="E14" i="10" s="1"/>
  <c r="B13" i="10" a="1"/>
  <c r="B13" i="10" s="1"/>
  <c r="I13" i="10" s="1"/>
  <c r="B12" i="10" a="1"/>
  <c r="B11" i="10" a="1"/>
  <c r="F10" i="10"/>
  <c r="B10" i="10" a="1"/>
  <c r="B9" i="10" a="1"/>
  <c r="F8" i="10"/>
  <c r="B8" i="10" a="1"/>
  <c r="E8" i="10" s="1"/>
  <c r="G8" i="10" s="1"/>
  <c r="B7" i="10" a="1"/>
  <c r="F7" i="10" s="1"/>
  <c r="B6" i="10" a="1"/>
  <c r="F6" i="10" s="1"/>
  <c r="B5" i="10" a="1"/>
  <c r="B4" i="10" a="1"/>
  <c r="E4" i="10" s="1"/>
  <c r="I168" i="9"/>
  <c r="I169" i="9"/>
  <c r="I170" i="9"/>
  <c r="J170" i="9" s="1"/>
  <c r="I173" i="9"/>
  <c r="I178" i="9"/>
  <c r="I179" i="9"/>
  <c r="I180" i="9"/>
  <c r="J180" i="9" s="1"/>
  <c r="I186" i="9"/>
  <c r="I187" i="9"/>
  <c r="I188" i="9"/>
  <c r="B173" i="9" a="1"/>
  <c r="B173" i="9" s="1"/>
  <c r="B174" i="9" a="1"/>
  <c r="B174" i="9" s="1"/>
  <c r="I174" i="9" s="1"/>
  <c r="B175" i="9" a="1"/>
  <c r="B175" i="9" s="1"/>
  <c r="I175" i="9" s="1"/>
  <c r="B176" i="9" a="1"/>
  <c r="B176" i="9" s="1"/>
  <c r="I176" i="9" s="1"/>
  <c r="J176" i="9" s="1"/>
  <c r="E176" i="9"/>
  <c r="F176" i="9"/>
  <c r="G176" i="9"/>
  <c r="B177" i="9" a="1"/>
  <c r="F177" i="9" s="1"/>
  <c r="B177" i="9"/>
  <c r="I177" i="9" s="1"/>
  <c r="J177" i="9" s="1"/>
  <c r="E177" i="9"/>
  <c r="B178" i="9" a="1"/>
  <c r="B178" i="9" s="1"/>
  <c r="B179" i="9" a="1"/>
  <c r="B179" i="9" s="1"/>
  <c r="B180" i="9" a="1"/>
  <c r="E180" i="9" s="1"/>
  <c r="B180" i="9"/>
  <c r="F180" i="9"/>
  <c r="B181" i="9" a="1"/>
  <c r="E181" i="9" s="1"/>
  <c r="B181" i="9"/>
  <c r="I181" i="9" s="1"/>
  <c r="B182" i="9" a="1"/>
  <c r="F182" i="9" s="1"/>
  <c r="B183" i="9" a="1"/>
  <c r="B183" i="9" s="1"/>
  <c r="I183" i="9" s="1"/>
  <c r="B184" i="9" a="1"/>
  <c r="B184" i="9" s="1"/>
  <c r="I184" i="9" s="1"/>
  <c r="J184" i="9" s="1"/>
  <c r="E184" i="9"/>
  <c r="F184" i="9"/>
  <c r="B185" i="9" a="1"/>
  <c r="F185" i="9" s="1"/>
  <c r="B186" i="9" a="1"/>
  <c r="B186" i="9" s="1"/>
  <c r="E186" i="9"/>
  <c r="G186" i="9" s="1"/>
  <c r="F186" i="9"/>
  <c r="B187" i="9" a="1"/>
  <c r="E187" i="9" s="1"/>
  <c r="B187" i="9"/>
  <c r="B188" i="9" a="1"/>
  <c r="B188" i="9" s="1"/>
  <c r="E188" i="9"/>
  <c r="F188" i="9"/>
  <c r="J188" i="9" s="1"/>
  <c r="B172" i="9" a="1"/>
  <c r="F172" i="9" s="1"/>
  <c r="B166" i="9" a="1"/>
  <c r="B166" i="9" s="1"/>
  <c r="I166" i="9" s="1"/>
  <c r="B167" i="9" a="1"/>
  <c r="B167" i="9" s="1"/>
  <c r="I167" i="9" s="1"/>
  <c r="B168" i="9" a="1"/>
  <c r="B168" i="9" s="1"/>
  <c r="B169" i="9" a="1"/>
  <c r="F169" i="9" s="1"/>
  <c r="G169" i="9" s="1"/>
  <c r="B169" i="9"/>
  <c r="E169" i="9"/>
  <c r="B170" i="9" a="1"/>
  <c r="B170" i="9"/>
  <c r="E170" i="9"/>
  <c r="F170" i="9"/>
  <c r="B165" i="9" a="1"/>
  <c r="F165" i="9" s="1"/>
  <c r="B5" i="9" a="1"/>
  <c r="B5" i="9" s="1"/>
  <c r="I5" i="9" s="1"/>
  <c r="B6" i="9" a="1"/>
  <c r="E6" i="9" s="1"/>
  <c r="B7" i="9" a="1"/>
  <c r="E7" i="9" s="1"/>
  <c r="B7" i="9"/>
  <c r="I7" i="9"/>
  <c r="B8" i="9" a="1"/>
  <c r="F8" i="9" s="1"/>
  <c r="B9" i="9" a="1"/>
  <c r="B9" i="9" s="1"/>
  <c r="I9" i="9" s="1"/>
  <c r="B10" i="9" a="1"/>
  <c r="E10" i="9" s="1"/>
  <c r="B11" i="9" a="1"/>
  <c r="B11" i="9"/>
  <c r="E11" i="9"/>
  <c r="F11" i="9"/>
  <c r="G11" i="9"/>
  <c r="I11" i="9"/>
  <c r="J11" i="9" s="1"/>
  <c r="B12" i="9" a="1"/>
  <c r="B12" i="9" s="1"/>
  <c r="I12" i="9" s="1"/>
  <c r="B13" i="9" a="1"/>
  <c r="B13" i="9" s="1"/>
  <c r="I13" i="9" s="1"/>
  <c r="J13" i="9" s="1"/>
  <c r="F13" i="9"/>
  <c r="B14" i="9" a="1"/>
  <c r="B14" i="9" s="1"/>
  <c r="I14" i="9" s="1"/>
  <c r="B15" i="9" a="1"/>
  <c r="E15" i="9" s="1"/>
  <c r="B15" i="9"/>
  <c r="I15" i="9" s="1"/>
  <c r="B16" i="9" a="1"/>
  <c r="B16" i="9"/>
  <c r="I16" i="9" s="1"/>
  <c r="J16" i="9" s="1"/>
  <c r="E16" i="9"/>
  <c r="G16" i="9" s="1"/>
  <c r="F16" i="9"/>
  <c r="B17" i="9" a="1"/>
  <c r="B17" i="9" s="1"/>
  <c r="I17" i="9" s="1"/>
  <c r="B18" i="9" a="1"/>
  <c r="B18" i="9"/>
  <c r="I18" i="9" s="1"/>
  <c r="E18" i="9"/>
  <c r="F18" i="9"/>
  <c r="G18" i="9"/>
  <c r="B4" i="9" a="1"/>
  <c r="F4" i="9" s="1"/>
  <c r="B22" i="9" a="1"/>
  <c r="E22" i="9" s="1"/>
  <c r="B23" i="9" a="1"/>
  <c r="B23" i="9" s="1"/>
  <c r="I23" i="9" s="1"/>
  <c r="B24" i="9" a="1"/>
  <c r="B24" i="9" s="1"/>
  <c r="I24" i="9" s="1"/>
  <c r="J24" i="9" s="1"/>
  <c r="E24" i="9"/>
  <c r="F24" i="9"/>
  <c r="G24" i="9"/>
  <c r="B25" i="9" a="1"/>
  <c r="F25" i="9" s="1"/>
  <c r="B26" i="9" a="1"/>
  <c r="B26" i="9" s="1"/>
  <c r="I26" i="9" s="1"/>
  <c r="B27" i="9" a="1"/>
  <c r="B27" i="9" s="1"/>
  <c r="I27" i="9" s="1"/>
  <c r="B28" i="9" a="1"/>
  <c r="B28" i="9" s="1"/>
  <c r="I28" i="9" s="1"/>
  <c r="E28" i="9"/>
  <c r="F28" i="9"/>
  <c r="G28" i="9"/>
  <c r="B29" i="9" a="1"/>
  <c r="B29" i="9" s="1"/>
  <c r="I29" i="9" s="1"/>
  <c r="B30" i="9" a="1"/>
  <c r="F30" i="9" s="1"/>
  <c r="B30" i="9"/>
  <c r="I30" i="9" s="1"/>
  <c r="J30" i="9" s="1"/>
  <c r="B31" i="9" a="1"/>
  <c r="B31" i="9" s="1"/>
  <c r="I31" i="9" s="1"/>
  <c r="E31" i="9"/>
  <c r="F31" i="9"/>
  <c r="G31" i="9"/>
  <c r="B32" i="9" a="1"/>
  <c r="E32" i="9" s="1"/>
  <c r="B32" i="9"/>
  <c r="I32" i="9" s="1"/>
  <c r="E21" i="9"/>
  <c r="G21" i="9" s="1"/>
  <c r="B21" i="9"/>
  <c r="I21" i="9" s="1"/>
  <c r="J21" i="9" s="1"/>
  <c r="B21" i="9" a="1"/>
  <c r="F21" i="9" s="1"/>
  <c r="B36" i="9" a="1"/>
  <c r="B36" i="9" s="1"/>
  <c r="I36" i="9" s="1"/>
  <c r="B37" i="9" a="1"/>
  <c r="B37" i="9" s="1"/>
  <c r="I37" i="9" s="1"/>
  <c r="F37" i="9"/>
  <c r="B38" i="9" a="1"/>
  <c r="B38" i="9"/>
  <c r="E38" i="9"/>
  <c r="F38" i="9"/>
  <c r="G38" i="9"/>
  <c r="I38" i="9"/>
  <c r="J38" i="9" s="1"/>
  <c r="B39" i="9" a="1"/>
  <c r="F39" i="9" s="1"/>
  <c r="B40" i="9" a="1"/>
  <c r="B40" i="9" s="1"/>
  <c r="I40" i="9" s="1"/>
  <c r="F40" i="9"/>
  <c r="B41" i="9" a="1"/>
  <c r="F41" i="9" s="1"/>
  <c r="B41" i="9"/>
  <c r="I41" i="9" s="1"/>
  <c r="J41" i="9" s="1"/>
  <c r="E41" i="9"/>
  <c r="G41" i="9" s="1"/>
  <c r="B42" i="9" a="1"/>
  <c r="B42" i="9" s="1"/>
  <c r="I42" i="9" s="1"/>
  <c r="B43" i="9" a="1"/>
  <c r="E43" i="9" s="1"/>
  <c r="B43" i="9"/>
  <c r="I43" i="9" s="1"/>
  <c r="F43" i="9"/>
  <c r="B44" i="9" a="1"/>
  <c r="B44" i="9" s="1"/>
  <c r="I44" i="9" s="1"/>
  <c r="E44" i="9"/>
  <c r="F44" i="9"/>
  <c r="G44" i="9"/>
  <c r="B45" i="9" a="1"/>
  <c r="B45" i="9" s="1"/>
  <c r="I45" i="9" s="1"/>
  <c r="B46" i="9" a="1"/>
  <c r="E46" i="9" s="1"/>
  <c r="B46" i="9"/>
  <c r="I46" i="9" s="1"/>
  <c r="B47" i="9" a="1"/>
  <c r="B47" i="9" s="1"/>
  <c r="I47" i="9" s="1"/>
  <c r="E47" i="9"/>
  <c r="G47" i="9" s="1"/>
  <c r="F47" i="9"/>
  <c r="B48" i="9" a="1"/>
  <c r="B48" i="9" s="1"/>
  <c r="I48" i="9" s="1"/>
  <c r="B49" i="9" a="1"/>
  <c r="B49" i="9" s="1"/>
  <c r="I49" i="9" s="1"/>
  <c r="E49" i="9"/>
  <c r="F49" i="9"/>
  <c r="G49" i="9"/>
  <c r="B50" i="9" a="1"/>
  <c r="B50" i="9" s="1"/>
  <c r="I50" i="9" s="1"/>
  <c r="B51" i="9" a="1"/>
  <c r="B51" i="9" s="1"/>
  <c r="I51" i="9" s="1"/>
  <c r="B52" i="9" a="1"/>
  <c r="E52" i="9" s="1"/>
  <c r="B52" i="9"/>
  <c r="I52" i="9" s="1"/>
  <c r="B53" i="9" a="1"/>
  <c r="B53" i="9" s="1"/>
  <c r="I53" i="9" s="1"/>
  <c r="B54" i="9" a="1"/>
  <c r="F54" i="9" s="1"/>
  <c r="E54" i="9"/>
  <c r="B55" i="9" a="1"/>
  <c r="B55" i="9"/>
  <c r="I55" i="9" s="1"/>
  <c r="J55" i="9" s="1"/>
  <c r="E55" i="9"/>
  <c r="F55" i="9"/>
  <c r="G55" i="9"/>
  <c r="B56" i="9" a="1"/>
  <c r="B56" i="9" s="1"/>
  <c r="I56" i="9" s="1"/>
  <c r="J56" i="9" s="1"/>
  <c r="E56" i="9"/>
  <c r="F56" i="9"/>
  <c r="B57" i="9" a="1"/>
  <c r="F57" i="9" s="1"/>
  <c r="B57" i="9"/>
  <c r="I57" i="9" s="1"/>
  <c r="E57" i="9"/>
  <c r="G57" i="9" s="1"/>
  <c r="B58" i="9" a="1"/>
  <c r="B58" i="9" s="1"/>
  <c r="I58" i="9" s="1"/>
  <c r="B59" i="9" a="1"/>
  <c r="B59" i="9" s="1"/>
  <c r="I59" i="9" s="1"/>
  <c r="E59" i="9"/>
  <c r="F59" i="9"/>
  <c r="G59" i="9"/>
  <c r="B60" i="9" a="1"/>
  <c r="E60" i="9" s="1"/>
  <c r="B61" i="9" a="1"/>
  <c r="B61" i="9" s="1"/>
  <c r="I61" i="9" s="1"/>
  <c r="F61" i="9"/>
  <c r="B62" i="9" a="1"/>
  <c r="F62" i="9" s="1"/>
  <c r="B62" i="9"/>
  <c r="I62" i="9" s="1"/>
  <c r="J62" i="9" s="1"/>
  <c r="E62" i="9"/>
  <c r="G62" i="9" s="1"/>
  <c r="B63" i="9" a="1"/>
  <c r="F63" i="9" s="1"/>
  <c r="B64" i="9" a="1"/>
  <c r="B64" i="9" s="1"/>
  <c r="I64" i="9" s="1"/>
  <c r="F64" i="9"/>
  <c r="B65" i="9" a="1"/>
  <c r="B65" i="9"/>
  <c r="E65" i="9"/>
  <c r="F65" i="9"/>
  <c r="G65" i="9"/>
  <c r="I65" i="9"/>
  <c r="J65" i="9" s="1"/>
  <c r="B66" i="9" a="1"/>
  <c r="B66" i="9" s="1"/>
  <c r="I66" i="9" s="1"/>
  <c r="J66" i="9" s="1"/>
  <c r="F66" i="9"/>
  <c r="B67" i="9" a="1"/>
  <c r="E67" i="9" s="1"/>
  <c r="B67" i="9"/>
  <c r="I67" i="9" s="1"/>
  <c r="B68" i="9" a="1"/>
  <c r="B68" i="9" s="1"/>
  <c r="I68" i="9" s="1"/>
  <c r="B69" i="9" a="1"/>
  <c r="B69" i="9" s="1"/>
  <c r="I69" i="9" s="1"/>
  <c r="J69" i="9" s="1"/>
  <c r="E69" i="9"/>
  <c r="F69" i="9"/>
  <c r="G69" i="9"/>
  <c r="B70" i="9" a="1"/>
  <c r="E70" i="9" s="1"/>
  <c r="B70" i="9"/>
  <c r="I70" i="9" s="1"/>
  <c r="B71" i="9" a="1"/>
  <c r="B71" i="9" s="1"/>
  <c r="I71" i="9" s="1"/>
  <c r="B72" i="9" a="1"/>
  <c r="B72" i="9"/>
  <c r="E72" i="9"/>
  <c r="F72" i="9"/>
  <c r="G72" i="9"/>
  <c r="I72" i="9"/>
  <c r="J72" i="9" s="1"/>
  <c r="B35" i="9" a="1"/>
  <c r="F35" i="9" s="1"/>
  <c r="B76" i="9" a="1"/>
  <c r="B76" i="9" s="1"/>
  <c r="I76" i="9" s="1"/>
  <c r="B77" i="9" a="1"/>
  <c r="E77" i="9" s="1"/>
  <c r="B78" i="9" a="1"/>
  <c r="B78" i="9" s="1"/>
  <c r="I78" i="9" s="1"/>
  <c r="J78" i="9" s="1"/>
  <c r="F78" i="9"/>
  <c r="B79" i="9" a="1"/>
  <c r="F79" i="9" s="1"/>
  <c r="B79" i="9"/>
  <c r="I79" i="9" s="1"/>
  <c r="J79" i="9" s="1"/>
  <c r="B80" i="9" a="1"/>
  <c r="B80" i="9" s="1"/>
  <c r="I80" i="9" s="1"/>
  <c r="B81" i="9" a="1"/>
  <c r="B81" i="9"/>
  <c r="I81" i="9" s="1"/>
  <c r="J81" i="9" s="1"/>
  <c r="E81" i="9"/>
  <c r="F81" i="9"/>
  <c r="G81" i="9"/>
  <c r="B82" i="9" a="1"/>
  <c r="B82" i="9" s="1"/>
  <c r="I82" i="9" s="1"/>
  <c r="B83" i="9" a="1"/>
  <c r="E83" i="9" s="1"/>
  <c r="B83" i="9"/>
  <c r="I83" i="9" s="1"/>
  <c r="F83" i="9"/>
  <c r="B84" i="9" a="1"/>
  <c r="B84" i="9" s="1"/>
  <c r="I84" i="9" s="1"/>
  <c r="B85" i="9" a="1"/>
  <c r="F85" i="9" s="1"/>
  <c r="B85" i="9"/>
  <c r="I85" i="9" s="1"/>
  <c r="J85" i="9" s="1"/>
  <c r="E85" i="9"/>
  <c r="G85" i="9" s="1"/>
  <c r="B86" i="9" a="1"/>
  <c r="E86" i="9" s="1"/>
  <c r="B87" i="9" a="1"/>
  <c r="B87" i="9"/>
  <c r="I87" i="9" s="1"/>
  <c r="E87" i="9"/>
  <c r="G87" i="9" s="1"/>
  <c r="F87" i="9"/>
  <c r="B88" i="9" a="1"/>
  <c r="B88" i="9" s="1"/>
  <c r="I88" i="9" s="1"/>
  <c r="B89" i="9" a="1"/>
  <c r="B89" i="9" s="1"/>
  <c r="I89" i="9" s="1"/>
  <c r="E89" i="9"/>
  <c r="F89" i="9"/>
  <c r="G89" i="9"/>
  <c r="B90" i="9" a="1"/>
  <c r="B90" i="9" s="1"/>
  <c r="I90" i="9" s="1"/>
  <c r="B91" i="9" a="1"/>
  <c r="B91" i="9" s="1"/>
  <c r="I91" i="9" s="1"/>
  <c r="B92" i="9" a="1"/>
  <c r="E92" i="9" s="1"/>
  <c r="B93" i="9" a="1"/>
  <c r="B93" i="9" s="1"/>
  <c r="I93" i="9" s="1"/>
  <c r="B94" i="9" a="1"/>
  <c r="B94" i="9" s="1"/>
  <c r="I94" i="9" s="1"/>
  <c r="J94" i="9" s="1"/>
  <c r="E94" i="9"/>
  <c r="F94" i="9"/>
  <c r="B95" i="9" a="1"/>
  <c r="F95" i="9" s="1"/>
  <c r="B95" i="9"/>
  <c r="I95" i="9" s="1"/>
  <c r="J95" i="9" s="1"/>
  <c r="E95" i="9"/>
  <c r="G95" i="9" s="1"/>
  <c r="B96" i="9" a="1"/>
  <c r="B96" i="9" s="1"/>
  <c r="I96" i="9" s="1"/>
  <c r="B97" i="9" a="1"/>
  <c r="B97" i="9" s="1"/>
  <c r="I97" i="9" s="1"/>
  <c r="J97" i="9" s="1"/>
  <c r="E97" i="9"/>
  <c r="F97" i="9"/>
  <c r="G97" i="9"/>
  <c r="B98" i="9" a="1"/>
  <c r="F98" i="9" s="1"/>
  <c r="B98" i="9"/>
  <c r="I98" i="9" s="1"/>
  <c r="B75" i="9" a="1"/>
  <c r="F75" i="9" s="1"/>
  <c r="B102" i="9" a="1"/>
  <c r="F102" i="9" s="1"/>
  <c r="B102" i="9"/>
  <c r="I102" i="9" s="1"/>
  <c r="E102" i="9"/>
  <c r="B103" i="9" a="1"/>
  <c r="B103" i="9" s="1"/>
  <c r="I103" i="9" s="1"/>
  <c r="B104" i="9" a="1"/>
  <c r="B104" i="9"/>
  <c r="E104" i="9"/>
  <c r="F104" i="9"/>
  <c r="G104" i="9"/>
  <c r="I104" i="9"/>
  <c r="J104" i="9"/>
  <c r="B105" i="9" a="1"/>
  <c r="F105" i="9" s="1"/>
  <c r="B106" i="9" a="1"/>
  <c r="B106" i="9" s="1"/>
  <c r="I106" i="9" s="1"/>
  <c r="B107" i="9" a="1"/>
  <c r="B107" i="9"/>
  <c r="E107" i="9"/>
  <c r="F107" i="9"/>
  <c r="G107" i="9"/>
  <c r="I107" i="9"/>
  <c r="J107" i="9" s="1"/>
  <c r="B108" i="9" a="1"/>
  <c r="B108" i="9" s="1"/>
  <c r="I108" i="9" s="1"/>
  <c r="B109" i="9" a="1"/>
  <c r="B109" i="9" s="1"/>
  <c r="I109" i="9" s="1"/>
  <c r="J109" i="9" s="1"/>
  <c r="E109" i="9"/>
  <c r="F109" i="9"/>
  <c r="B110" i="9" a="1"/>
  <c r="B110" i="9"/>
  <c r="I110" i="9" s="1"/>
  <c r="J110" i="9" s="1"/>
  <c r="E110" i="9"/>
  <c r="G110" i="9" s="1"/>
  <c r="F110" i="9"/>
  <c r="B111" i="9" a="1"/>
  <c r="B111" i="9" s="1"/>
  <c r="I111" i="9" s="1"/>
  <c r="B112" i="9" a="1"/>
  <c r="E112" i="9" s="1"/>
  <c r="B112" i="9"/>
  <c r="I112" i="9" s="1"/>
  <c r="B113" i="9" a="1"/>
  <c r="B113" i="9" s="1"/>
  <c r="I113" i="9" s="1"/>
  <c r="E113" i="9"/>
  <c r="G113" i="9" s="1"/>
  <c r="F113" i="9"/>
  <c r="B114" i="9" a="1"/>
  <c r="B114" i="9" s="1"/>
  <c r="I114" i="9" s="1"/>
  <c r="B115" i="9" a="1"/>
  <c r="B115" i="9"/>
  <c r="I115" i="9" s="1"/>
  <c r="E115" i="9"/>
  <c r="F115" i="9"/>
  <c r="G115" i="9"/>
  <c r="B116" i="9" a="1"/>
  <c r="F116" i="9" s="1"/>
  <c r="B116" i="9"/>
  <c r="I116" i="9" s="1"/>
  <c r="J116" i="9" s="1"/>
  <c r="B117" i="9" a="1"/>
  <c r="B117" i="9" s="1"/>
  <c r="I117" i="9" s="1"/>
  <c r="E117" i="9"/>
  <c r="B118" i="9" a="1"/>
  <c r="B118" i="9"/>
  <c r="I118" i="9" s="1"/>
  <c r="J118" i="9" s="1"/>
  <c r="E118" i="9"/>
  <c r="G118" i="9" s="1"/>
  <c r="F118" i="9"/>
  <c r="B119" i="9" a="1"/>
  <c r="B119" i="9" s="1"/>
  <c r="I119" i="9" s="1"/>
  <c r="B120" i="9" a="1"/>
  <c r="B120" i="9" s="1"/>
  <c r="I120" i="9" s="1"/>
  <c r="B121" i="9" a="1"/>
  <c r="B121" i="9" s="1"/>
  <c r="I121" i="9" s="1"/>
  <c r="E121" i="9"/>
  <c r="F121" i="9"/>
  <c r="G121" i="9"/>
  <c r="B122" i="9" a="1"/>
  <c r="B122" i="9" s="1"/>
  <c r="I122" i="9" s="1"/>
  <c r="B123" i="9" a="1"/>
  <c r="E123" i="9" s="1"/>
  <c r="B124" i="9" a="1"/>
  <c r="B124" i="9"/>
  <c r="I124" i="9" s="1"/>
  <c r="J124" i="9" s="1"/>
  <c r="E124" i="9"/>
  <c r="F124" i="9"/>
  <c r="G124" i="9"/>
  <c r="B125" i="9" a="1"/>
  <c r="B125" i="9" s="1"/>
  <c r="I125" i="9" s="1"/>
  <c r="B126" i="9" a="1"/>
  <c r="B126" i="9"/>
  <c r="I126" i="9" s="1"/>
  <c r="E126" i="9"/>
  <c r="F126" i="9"/>
  <c r="G126" i="9"/>
  <c r="B127" i="9" a="1"/>
  <c r="B127" i="9" s="1"/>
  <c r="I127" i="9" s="1"/>
  <c r="B128" i="9" a="1"/>
  <c r="B128" i="9" s="1"/>
  <c r="I128" i="9" s="1"/>
  <c r="J128" i="9" s="1"/>
  <c r="E128" i="9"/>
  <c r="F128" i="9"/>
  <c r="G128" i="9"/>
  <c r="B129" i="9" a="1"/>
  <c r="F129" i="9" s="1"/>
  <c r="B129" i="9"/>
  <c r="I129" i="9" s="1"/>
  <c r="J129" i="9" s="1"/>
  <c r="B101" i="9" a="1"/>
  <c r="B101" i="9" s="1"/>
  <c r="I101" i="9" s="1"/>
  <c r="J142" i="9"/>
  <c r="I133" i="9"/>
  <c r="I134" i="9"/>
  <c r="I149" i="9"/>
  <c r="I156" i="9"/>
  <c r="I157" i="9"/>
  <c r="I158" i="9"/>
  <c r="J158" i="9" s="1"/>
  <c r="F158" i="9"/>
  <c r="F153" i="9"/>
  <c r="E153" i="9"/>
  <c r="G153" i="9" s="1"/>
  <c r="F152" i="9"/>
  <c r="E146" i="9"/>
  <c r="F144" i="9"/>
  <c r="E144" i="9"/>
  <c r="G144" i="9" s="1"/>
  <c r="E143" i="9"/>
  <c r="F142" i="9"/>
  <c r="E142" i="9"/>
  <c r="G142" i="9" s="1"/>
  <c r="F141" i="9"/>
  <c r="J141" i="9" s="1"/>
  <c r="E134" i="9"/>
  <c r="B162" i="9" a="1"/>
  <c r="B162" i="9" s="1"/>
  <c r="I162" i="9" s="1"/>
  <c r="B161" i="9" a="1"/>
  <c r="B161" i="9" s="1"/>
  <c r="I161" i="9" s="1"/>
  <c r="B160" i="9" a="1"/>
  <c r="B160" i="9" s="1"/>
  <c r="I160" i="9" s="1"/>
  <c r="B159" i="9" a="1"/>
  <c r="B159" i="9" s="1"/>
  <c r="I159" i="9" s="1"/>
  <c r="B158" i="9" a="1"/>
  <c r="B158" i="9" s="1"/>
  <c r="B157" i="9" a="1"/>
  <c r="B157" i="9" s="1"/>
  <c r="B156" i="9" a="1"/>
  <c r="B156" i="9" s="1"/>
  <c r="B155" i="9" a="1"/>
  <c r="B155" i="9" s="1"/>
  <c r="I155" i="9" s="1"/>
  <c r="B154" i="9" a="1"/>
  <c r="B154" i="9" s="1"/>
  <c r="I154" i="9" s="1"/>
  <c r="B153" i="9" a="1"/>
  <c r="B153" i="9" s="1"/>
  <c r="I153" i="9" s="1"/>
  <c r="J153" i="9" s="1"/>
  <c r="B152" i="9" a="1"/>
  <c r="B152" i="9" s="1"/>
  <c r="I152" i="9" s="1"/>
  <c r="J152" i="9" s="1"/>
  <c r="B151" i="9" a="1"/>
  <c r="B151" i="9" s="1"/>
  <c r="I151" i="9" s="1"/>
  <c r="B150" i="9" a="1"/>
  <c r="B150" i="9" s="1"/>
  <c r="I150" i="9" s="1"/>
  <c r="B149" i="9" a="1"/>
  <c r="B149" i="9" s="1"/>
  <c r="B148" i="9" a="1"/>
  <c r="B148" i="9" s="1"/>
  <c r="I148" i="9" s="1"/>
  <c r="B147" i="9" a="1"/>
  <c r="B147" i="9" s="1"/>
  <c r="I147" i="9" s="1"/>
  <c r="B146" i="9" a="1"/>
  <c r="B146" i="9" s="1"/>
  <c r="I146" i="9" s="1"/>
  <c r="B145" i="9" a="1"/>
  <c r="B145" i="9" s="1"/>
  <c r="I145" i="9" s="1"/>
  <c r="B144" i="9" a="1"/>
  <c r="B144" i="9" s="1"/>
  <c r="I144" i="9" s="1"/>
  <c r="J144" i="9" s="1"/>
  <c r="B143" i="9" a="1"/>
  <c r="B143" i="9" s="1"/>
  <c r="I143" i="9" s="1"/>
  <c r="B142" i="9" a="1"/>
  <c r="B142" i="9" s="1"/>
  <c r="I142" i="9" s="1"/>
  <c r="B141" i="9" a="1"/>
  <c r="B141" i="9" s="1"/>
  <c r="I141" i="9" s="1"/>
  <c r="B140" i="9" a="1"/>
  <c r="B140" i="9" s="1"/>
  <c r="I140" i="9" s="1"/>
  <c r="B139" i="9" a="1"/>
  <c r="B139" i="9" s="1"/>
  <c r="I139" i="9" s="1"/>
  <c r="B138" i="9" a="1"/>
  <c r="B138" i="9" s="1"/>
  <c r="I138" i="9" s="1"/>
  <c r="B137" i="9" a="1"/>
  <c r="B137" i="9" s="1"/>
  <c r="I137" i="9" s="1"/>
  <c r="B136" i="9" a="1"/>
  <c r="B136" i="9" s="1"/>
  <c r="I136" i="9" s="1"/>
  <c r="B135" i="9" a="1"/>
  <c r="B135" i="9" s="1"/>
  <c r="I135" i="9" s="1"/>
  <c r="B134" i="9" a="1"/>
  <c r="B134" i="9" s="1"/>
  <c r="B133" i="9" a="1"/>
  <c r="B133" i="9" s="1"/>
  <c r="B132" i="9" a="1"/>
  <c r="B132" i="9" s="1"/>
  <c r="I132" i="9" s="1"/>
  <c r="B171" i="9" a="1"/>
  <c r="B171" i="9" s="1"/>
  <c r="I171" i="9" s="1"/>
  <c r="F33" i="13" l="1"/>
  <c r="J33" i="13" s="1"/>
  <c r="E33" i="13"/>
  <c r="B32" i="13"/>
  <c r="I32" i="13" s="1"/>
  <c r="J32" i="13" s="1"/>
  <c r="E32" i="13"/>
  <c r="G32" i="13" s="1"/>
  <c r="F29" i="13"/>
  <c r="J29" i="13" s="1"/>
  <c r="E29" i="13"/>
  <c r="G29" i="13" s="1"/>
  <c r="G28" i="13"/>
  <c r="B28" i="13"/>
  <c r="I28" i="13" s="1"/>
  <c r="J28" i="13" s="1"/>
  <c r="F24" i="13"/>
  <c r="J24" i="13" s="1"/>
  <c r="E24" i="13"/>
  <c r="G24" i="13" s="1"/>
  <c r="B23" i="13"/>
  <c r="I23" i="13" s="1"/>
  <c r="J23" i="13" s="1"/>
  <c r="E23" i="13"/>
  <c r="G23" i="13" s="1"/>
  <c r="F20" i="13"/>
  <c r="J20" i="13" s="1"/>
  <c r="E20" i="13"/>
  <c r="G20" i="13" s="1"/>
  <c r="J16" i="13"/>
  <c r="F16" i="13"/>
  <c r="E16" i="13"/>
  <c r="F14" i="13"/>
  <c r="J14" i="13" s="1"/>
  <c r="E14" i="13"/>
  <c r="G14" i="13" s="1"/>
  <c r="E13" i="13"/>
  <c r="F13" i="13"/>
  <c r="J13" i="13" s="1"/>
  <c r="F10" i="13"/>
  <c r="J10" i="13" s="1"/>
  <c r="E10" i="13"/>
  <c r="G10" i="13" s="1"/>
  <c r="F9" i="13"/>
  <c r="J9" i="13" s="1"/>
  <c r="E9" i="13"/>
  <c r="G9" i="13" s="1"/>
  <c r="B8" i="13"/>
  <c r="I8" i="13" s="1"/>
  <c r="J8" i="13" s="1"/>
  <c r="E8" i="13"/>
  <c r="G8" i="13" s="1"/>
  <c r="E4" i="13"/>
  <c r="G4" i="13" s="1"/>
  <c r="B4" i="13"/>
  <c r="I4" i="13" s="1"/>
  <c r="J4" i="13" s="1"/>
  <c r="J57" i="9"/>
  <c r="G181" i="9"/>
  <c r="J148" i="9"/>
  <c r="J51" i="9"/>
  <c r="G60" i="9"/>
  <c r="J166" i="9"/>
  <c r="J150" i="9"/>
  <c r="J127" i="10"/>
  <c r="J171" i="9"/>
  <c r="J155" i="9"/>
  <c r="J134" i="9"/>
  <c r="G48" i="10"/>
  <c r="J132" i="10"/>
  <c r="J181" i="9"/>
  <c r="J146" i="9"/>
  <c r="J154" i="9"/>
  <c r="J88" i="9"/>
  <c r="J132" i="9"/>
  <c r="J116" i="10"/>
  <c r="J48" i="9"/>
  <c r="J120" i="9"/>
  <c r="J136" i="9"/>
  <c r="J82" i="9"/>
  <c r="J98" i="9"/>
  <c r="J120" i="10"/>
  <c r="J87" i="9"/>
  <c r="J186" i="9"/>
  <c r="E13" i="10"/>
  <c r="E87" i="10"/>
  <c r="B135" i="10"/>
  <c r="I135" i="10" s="1"/>
  <c r="J135" i="10" s="1"/>
  <c r="F145" i="10"/>
  <c r="J145" i="10" s="1"/>
  <c r="B165" i="10"/>
  <c r="I165" i="10" s="1"/>
  <c r="J165" i="10" s="1"/>
  <c r="J31" i="9"/>
  <c r="F13" i="10"/>
  <c r="G13" i="10" s="1"/>
  <c r="F87" i="10"/>
  <c r="J87" i="10" s="1"/>
  <c r="E165" i="10"/>
  <c r="G165" i="10" s="1"/>
  <c r="F143" i="9"/>
  <c r="J143" i="9" s="1"/>
  <c r="G94" i="9"/>
  <c r="J61" i="9"/>
  <c r="J40" i="9"/>
  <c r="B118" i="10"/>
  <c r="I118" i="10" s="1"/>
  <c r="J118" i="10" s="1"/>
  <c r="B125" i="10"/>
  <c r="I125" i="10" s="1"/>
  <c r="J125" i="10" s="1"/>
  <c r="B146" i="10"/>
  <c r="I146" i="10" s="1"/>
  <c r="F145" i="9"/>
  <c r="J145" i="9" s="1"/>
  <c r="E127" i="9"/>
  <c r="E122" i="9"/>
  <c r="E116" i="9"/>
  <c r="G116" i="9" s="1"/>
  <c r="B105" i="9"/>
  <c r="I105" i="9" s="1"/>
  <c r="J105" i="9" s="1"/>
  <c r="E98" i="9"/>
  <c r="G98" i="9" s="1"/>
  <c r="F92" i="9"/>
  <c r="G92" i="9" s="1"/>
  <c r="E79" i="9"/>
  <c r="G79" i="9" s="1"/>
  <c r="B60" i="9"/>
  <c r="I60" i="9" s="1"/>
  <c r="J60" i="9" s="1"/>
  <c r="E30" i="9"/>
  <c r="G30" i="9" s="1"/>
  <c r="B22" i="9"/>
  <c r="I22" i="9" s="1"/>
  <c r="F12" i="9"/>
  <c r="B6" i="9"/>
  <c r="I6" i="9" s="1"/>
  <c r="J6" i="9" s="1"/>
  <c r="G126" i="10"/>
  <c r="J23" i="10"/>
  <c r="E127" i="10"/>
  <c r="E120" i="10"/>
  <c r="E154" i="9"/>
  <c r="E155" i="9"/>
  <c r="J89" i="9"/>
  <c r="G83" i="9"/>
  <c r="E78" i="9"/>
  <c r="G78" i="9" s="1"/>
  <c r="G43" i="9"/>
  <c r="J28" i="9"/>
  <c r="B42" i="10"/>
  <c r="I42" i="10" s="1"/>
  <c r="J42" i="10" s="1"/>
  <c r="B53" i="10"/>
  <c r="I53" i="10" s="1"/>
  <c r="F72" i="10"/>
  <c r="F82" i="10"/>
  <c r="E91" i="10"/>
  <c r="B98" i="10"/>
  <c r="I98" i="10" s="1"/>
  <c r="J98" i="10" s="1"/>
  <c r="E113" i="10"/>
  <c r="G113" i="10" s="1"/>
  <c r="B121" i="10"/>
  <c r="I121" i="10" s="1"/>
  <c r="J121" i="10" s="1"/>
  <c r="F128" i="10"/>
  <c r="G128" i="10" s="1"/>
  <c r="F156" i="10"/>
  <c r="J156" i="10" s="1"/>
  <c r="F180" i="10"/>
  <c r="J180" i="10" s="1"/>
  <c r="J12" i="9"/>
  <c r="J179" i="9"/>
  <c r="G61" i="10"/>
  <c r="E71" i="10"/>
  <c r="E81" i="10"/>
  <c r="E90" i="10"/>
  <c r="G90" i="10" s="1"/>
  <c r="E97" i="10"/>
  <c r="G97" i="10" s="1"/>
  <c r="E155" i="10"/>
  <c r="B61" i="10"/>
  <c r="I61" i="10" s="1"/>
  <c r="J121" i="9"/>
  <c r="G170" i="9"/>
  <c r="F120" i="10"/>
  <c r="E137" i="10"/>
  <c r="G137" i="10" s="1"/>
  <c r="F154" i="9"/>
  <c r="J115" i="9"/>
  <c r="E82" i="10"/>
  <c r="G82" i="10" s="1"/>
  <c r="F155" i="9"/>
  <c r="F120" i="9"/>
  <c r="G120" i="9" s="1"/>
  <c r="J64" i="9"/>
  <c r="B54" i="9"/>
  <c r="I54" i="9" s="1"/>
  <c r="J54" i="9" s="1"/>
  <c r="J37" i="9"/>
  <c r="B10" i="9"/>
  <c r="I10" i="9" s="1"/>
  <c r="F183" i="9"/>
  <c r="J183" i="9" s="1"/>
  <c r="B8" i="10"/>
  <c r="I8" i="10" s="1"/>
  <c r="J8" i="10" s="1"/>
  <c r="E42" i="10"/>
  <c r="G42" i="10" s="1"/>
  <c r="B62" i="10"/>
  <c r="I62" i="10" s="1"/>
  <c r="J62" i="10" s="1"/>
  <c r="F91" i="10"/>
  <c r="E98" i="10"/>
  <c r="G98" i="10" s="1"/>
  <c r="F113" i="10"/>
  <c r="J113" i="10" s="1"/>
  <c r="E121" i="10"/>
  <c r="G121" i="10" s="1"/>
  <c r="G181" i="10"/>
  <c r="J49" i="9"/>
  <c r="B18" i="10"/>
  <c r="I18" i="10" s="1"/>
  <c r="J18" i="10" s="1"/>
  <c r="E148" i="10"/>
  <c r="G148" i="10" s="1"/>
  <c r="J83" i="9"/>
  <c r="E29" i="10"/>
  <c r="E180" i="10"/>
  <c r="E156" i="9"/>
  <c r="G156" i="9" s="1"/>
  <c r="E120" i="9"/>
  <c r="F103" i="9"/>
  <c r="J103" i="9" s="1"/>
  <c r="E63" i="9"/>
  <c r="G63" i="9" s="1"/>
  <c r="F58" i="9"/>
  <c r="J58" i="9" s="1"/>
  <c r="F48" i="9"/>
  <c r="F42" i="9"/>
  <c r="J42" i="9" s="1"/>
  <c r="E36" i="9"/>
  <c r="F27" i="9"/>
  <c r="J27" i="9" s="1"/>
  <c r="J114" i="10"/>
  <c r="B181" i="10"/>
  <c r="I181" i="10" s="1"/>
  <c r="F127" i="10"/>
  <c r="E61" i="10"/>
  <c r="G184" i="9"/>
  <c r="F148" i="10"/>
  <c r="E132" i="9"/>
  <c r="G132" i="9" s="1"/>
  <c r="F156" i="9"/>
  <c r="J156" i="9" s="1"/>
  <c r="F125" i="9"/>
  <c r="J125" i="9" s="1"/>
  <c r="E103" i="9"/>
  <c r="F96" i="9"/>
  <c r="J96" i="9" s="1"/>
  <c r="F82" i="9"/>
  <c r="B63" i="9"/>
  <c r="I63" i="9" s="1"/>
  <c r="E58" i="9"/>
  <c r="E48" i="9"/>
  <c r="E42" i="9"/>
  <c r="E27" i="9"/>
  <c r="E182" i="9"/>
  <c r="G182" i="9" s="1"/>
  <c r="F167" i="10"/>
  <c r="G167" i="10" s="1"/>
  <c r="J148" i="10"/>
  <c r="J59" i="9"/>
  <c r="J82" i="10"/>
  <c r="G109" i="9"/>
  <c r="J43" i="9"/>
  <c r="E18" i="10"/>
  <c r="G18" i="10" s="1"/>
  <c r="E156" i="10"/>
  <c r="F132" i="9"/>
  <c r="E157" i="9"/>
  <c r="G157" i="9" s="1"/>
  <c r="E125" i="9"/>
  <c r="F114" i="9"/>
  <c r="J114" i="9" s="1"/>
  <c r="F108" i="9"/>
  <c r="J108" i="9" s="1"/>
  <c r="F88" i="9"/>
  <c r="E82" i="9"/>
  <c r="E76" i="9"/>
  <c r="F68" i="9"/>
  <c r="F9" i="9"/>
  <c r="J9" i="9" s="1"/>
  <c r="B182" i="9"/>
  <c r="I182" i="9" s="1"/>
  <c r="J182" i="9" s="1"/>
  <c r="G22" i="10"/>
  <c r="E77" i="10"/>
  <c r="G77" i="10" s="1"/>
  <c r="G92" i="10"/>
  <c r="G101" i="10"/>
  <c r="J143" i="10"/>
  <c r="G29" i="10"/>
  <c r="F71" i="10"/>
  <c r="G71" i="10" s="1"/>
  <c r="B137" i="10"/>
  <c r="I137" i="10" s="1"/>
  <c r="J137" i="10" s="1"/>
  <c r="J126" i="9"/>
  <c r="B29" i="10"/>
  <c r="I29" i="10" s="1"/>
  <c r="J29" i="10" s="1"/>
  <c r="J18" i="9"/>
  <c r="E133" i="9"/>
  <c r="F157" i="9"/>
  <c r="J157" i="9" s="1"/>
  <c r="E114" i="9"/>
  <c r="G114" i="9" s="1"/>
  <c r="E108" i="9"/>
  <c r="G108" i="9" s="1"/>
  <c r="E88" i="9"/>
  <c r="G88" i="9" s="1"/>
  <c r="E68" i="9"/>
  <c r="F26" i="9"/>
  <c r="E9" i="9"/>
  <c r="G9" i="9" s="1"/>
  <c r="E168" i="9"/>
  <c r="G32" i="10"/>
  <c r="G143" i="10"/>
  <c r="G174" i="10"/>
  <c r="J182" i="10"/>
  <c r="B90" i="10"/>
  <c r="I90" i="10" s="1"/>
  <c r="J90" i="10" s="1"/>
  <c r="J44" i="9"/>
  <c r="F133" i="9"/>
  <c r="J133" i="9" s="1"/>
  <c r="E158" i="9"/>
  <c r="G158" i="9" s="1"/>
  <c r="G102" i="9"/>
  <c r="J68" i="9"/>
  <c r="J26" i="9"/>
  <c r="G177" i="9"/>
  <c r="G155" i="10"/>
  <c r="B97" i="10"/>
  <c r="I97" i="10" s="1"/>
  <c r="J97" i="10" s="1"/>
  <c r="B155" i="10"/>
  <c r="I155" i="10" s="1"/>
  <c r="J155" i="10" s="1"/>
  <c r="J102" i="9"/>
  <c r="F67" i="9"/>
  <c r="G67" i="9" s="1"/>
  <c r="F52" i="9"/>
  <c r="G52" i="9" s="1"/>
  <c r="E25" i="9"/>
  <c r="E8" i="9"/>
  <c r="G8" i="9" s="1"/>
  <c r="F167" i="9"/>
  <c r="F181" i="9"/>
  <c r="G116" i="10"/>
  <c r="F134" i="9"/>
  <c r="G134" i="9" s="1"/>
  <c r="E129" i="9"/>
  <c r="G129" i="9" s="1"/>
  <c r="J47" i="9"/>
  <c r="B25" i="9"/>
  <c r="I25" i="9" s="1"/>
  <c r="B8" i="9"/>
  <c r="I8" i="9" s="1"/>
  <c r="J8" i="9" s="1"/>
  <c r="E167" i="9"/>
  <c r="F23" i="10"/>
  <c r="F78" i="10"/>
  <c r="G78" i="10" s="1"/>
  <c r="B103" i="10"/>
  <c r="I103" i="10" s="1"/>
  <c r="J103" i="10" s="1"/>
  <c r="F116" i="10"/>
  <c r="F144" i="10"/>
  <c r="F35" i="10"/>
  <c r="J35" i="10" s="1"/>
  <c r="B56" i="10"/>
  <c r="I56" i="10" s="1"/>
  <c r="J56" i="10" s="1"/>
  <c r="E183" i="10"/>
  <c r="J113" i="9"/>
  <c r="B24" i="10"/>
  <c r="I24" i="10" s="1"/>
  <c r="J24" i="10" s="1"/>
  <c r="E56" i="10"/>
  <c r="G56" i="10" s="1"/>
  <c r="F183" i="10"/>
  <c r="J183" i="10" s="1"/>
  <c r="B123" i="9"/>
  <c r="I123" i="9" s="1"/>
  <c r="F117" i="9"/>
  <c r="G117" i="9" s="1"/>
  <c r="F80" i="9"/>
  <c r="E66" i="9"/>
  <c r="G66" i="9" s="1"/>
  <c r="F51" i="9"/>
  <c r="F45" i="9"/>
  <c r="J45" i="9" s="1"/>
  <c r="E39" i="9"/>
  <c r="E13" i="9"/>
  <c r="G13" i="9" s="1"/>
  <c r="F179" i="9"/>
  <c r="F14" i="10"/>
  <c r="G14" i="10" s="1"/>
  <c r="B58" i="10"/>
  <c r="I58" i="10" s="1"/>
  <c r="J58" i="10" s="1"/>
  <c r="B88" i="10"/>
  <c r="I88" i="10" s="1"/>
  <c r="J88" i="10" s="1"/>
  <c r="F95" i="10"/>
  <c r="G95" i="10" s="1"/>
  <c r="E118" i="10"/>
  <c r="G118" i="10" s="1"/>
  <c r="E125" i="10"/>
  <c r="G125" i="10" s="1"/>
  <c r="E146" i="10"/>
  <c r="G146" i="10" s="1"/>
  <c r="B153" i="10"/>
  <c r="I153" i="10" s="1"/>
  <c r="B178" i="10"/>
  <c r="I178" i="10" s="1"/>
  <c r="J178" i="10" s="1"/>
  <c r="J67" i="9"/>
  <c r="J176" i="10"/>
  <c r="E145" i="10"/>
  <c r="F176" i="10"/>
  <c r="G180" i="9"/>
  <c r="F79" i="10"/>
  <c r="J79" i="10" s="1"/>
  <c r="E80" i="9"/>
  <c r="G80" i="9" s="1"/>
  <c r="F71" i="9"/>
  <c r="J71" i="9" s="1"/>
  <c r="F60" i="9"/>
  <c r="E51" i="9"/>
  <c r="E45" i="9"/>
  <c r="B39" i="9"/>
  <c r="I39" i="9" s="1"/>
  <c r="J39" i="9" s="1"/>
  <c r="F6" i="9"/>
  <c r="G6" i="9" s="1"/>
  <c r="E58" i="10"/>
  <c r="G58" i="10" s="1"/>
  <c r="E70" i="10"/>
  <c r="G70" i="10" s="1"/>
  <c r="B80" i="10"/>
  <c r="I80" i="10" s="1"/>
  <c r="J80" i="10" s="1"/>
  <c r="E88" i="10"/>
  <c r="G88" i="10" s="1"/>
  <c r="F153" i="10"/>
  <c r="G153" i="10" s="1"/>
  <c r="B166" i="10"/>
  <c r="I166" i="10" s="1"/>
  <c r="J166" i="10" s="1"/>
  <c r="E178" i="10"/>
  <c r="G178" i="10" s="1"/>
  <c r="E176" i="10"/>
  <c r="G176" i="10" s="1"/>
  <c r="G47" i="10"/>
  <c r="E75" i="9"/>
  <c r="J169" i="9"/>
  <c r="E24" i="10"/>
  <c r="G24" i="10" s="1"/>
  <c r="E79" i="10"/>
  <c r="E135" i="10"/>
  <c r="G135" i="10" s="1"/>
  <c r="G56" i="9"/>
  <c r="G188" i="9"/>
  <c r="F48" i="10"/>
  <c r="E145" i="9"/>
  <c r="F127" i="9"/>
  <c r="J127" i="9" s="1"/>
  <c r="F122" i="9"/>
  <c r="J122" i="9" s="1"/>
  <c r="J117" i="9"/>
  <c r="E105" i="9"/>
  <c r="G105" i="9" s="1"/>
  <c r="J80" i="9"/>
  <c r="E71" i="9"/>
  <c r="G71" i="9" s="1"/>
  <c r="F70" i="10"/>
  <c r="J70" i="10" s="1"/>
  <c r="G96" i="10"/>
  <c r="J126" i="10"/>
  <c r="F171" i="10"/>
  <c r="J171" i="10" s="1"/>
  <c r="E171" i="10"/>
  <c r="F168" i="10"/>
  <c r="G168" i="10" s="1"/>
  <c r="B41" i="10"/>
  <c r="I41" i="10" s="1"/>
  <c r="J41" i="10" s="1"/>
  <c r="F31" i="10"/>
  <c r="E31" i="10"/>
  <c r="B31" i="10"/>
  <c r="I31" i="10" s="1"/>
  <c r="E112" i="10"/>
  <c r="F112" i="10"/>
  <c r="B39" i="10"/>
  <c r="I39" i="10" s="1"/>
  <c r="J39" i="10" s="1"/>
  <c r="B52" i="10"/>
  <c r="I52" i="10" s="1"/>
  <c r="J52" i="10" s="1"/>
  <c r="F85" i="10"/>
  <c r="E85" i="10"/>
  <c r="G85" i="10" s="1"/>
  <c r="B85" i="10"/>
  <c r="I85" i="10" s="1"/>
  <c r="J85" i="10" s="1"/>
  <c r="B112" i="10"/>
  <c r="I112" i="10" s="1"/>
  <c r="J112" i="10" s="1"/>
  <c r="J181" i="10"/>
  <c r="E39" i="10"/>
  <c r="F46" i="10"/>
  <c r="E46" i="10"/>
  <c r="G46" i="10" s="1"/>
  <c r="B46" i="10"/>
  <c r="I46" i="10" s="1"/>
  <c r="J46" i="10" s="1"/>
  <c r="E52" i="10"/>
  <c r="G52" i="10" s="1"/>
  <c r="B140" i="10"/>
  <c r="I140" i="10" s="1"/>
  <c r="J140" i="10" s="1"/>
  <c r="F107" i="10"/>
  <c r="E107" i="10"/>
  <c r="G107" i="10" s="1"/>
  <c r="F133" i="10"/>
  <c r="E133" i="10"/>
  <c r="E140" i="10"/>
  <c r="G140" i="10" s="1"/>
  <c r="J146" i="10"/>
  <c r="B175" i="10"/>
  <c r="I175" i="10" s="1"/>
  <c r="J175" i="10" s="1"/>
  <c r="F175" i="10"/>
  <c r="E175" i="10"/>
  <c r="B7" i="10"/>
  <c r="I7" i="10" s="1"/>
  <c r="J7" i="10" s="1"/>
  <c r="B21" i="10"/>
  <c r="I21" i="10" s="1"/>
  <c r="J21" i="10" s="1"/>
  <c r="F59" i="10"/>
  <c r="E59" i="10"/>
  <c r="G59" i="10" s="1"/>
  <c r="B107" i="10"/>
  <c r="I107" i="10" s="1"/>
  <c r="J107" i="10" s="1"/>
  <c r="B133" i="10"/>
  <c r="I133" i="10" s="1"/>
  <c r="J133" i="10" s="1"/>
  <c r="E7" i="10"/>
  <c r="G7" i="10" s="1"/>
  <c r="E21" i="10"/>
  <c r="G21" i="10" s="1"/>
  <c r="F27" i="10"/>
  <c r="E27" i="10"/>
  <c r="G27" i="10" s="1"/>
  <c r="J53" i="10"/>
  <c r="B59" i="10"/>
  <c r="I59" i="10" s="1"/>
  <c r="J59" i="10" s="1"/>
  <c r="B65" i="10"/>
  <c r="I65" i="10" s="1"/>
  <c r="J65" i="10" s="1"/>
  <c r="G72" i="10"/>
  <c r="F141" i="10"/>
  <c r="E141" i="10"/>
  <c r="B27" i="10"/>
  <c r="I27" i="10" s="1"/>
  <c r="E65" i="10"/>
  <c r="G65" i="10" s="1"/>
  <c r="B72" i="10"/>
  <c r="I72" i="10" s="1"/>
  <c r="B141" i="10"/>
  <c r="I141" i="10" s="1"/>
  <c r="B28" i="10"/>
  <c r="I28" i="10" s="1"/>
  <c r="J28" i="10" s="1"/>
  <c r="F160" i="10"/>
  <c r="J160" i="10" s="1"/>
  <c r="F9" i="10"/>
  <c r="E9" i="10"/>
  <c r="G9" i="10" s="1"/>
  <c r="B9" i="10"/>
  <c r="I9" i="10" s="1"/>
  <c r="B69" i="10"/>
  <c r="I69" i="10" s="1"/>
  <c r="J69" i="10" s="1"/>
  <c r="F185" i="10"/>
  <c r="B185" i="10"/>
  <c r="I185" i="10" s="1"/>
  <c r="B4" i="10"/>
  <c r="I4" i="10" s="1"/>
  <c r="J4" i="10" s="1"/>
  <c r="E10" i="10"/>
  <c r="G10" i="10" s="1"/>
  <c r="B10" i="10"/>
  <c r="I10" i="10" s="1"/>
  <c r="J10" i="10" s="1"/>
  <c r="J61" i="10"/>
  <c r="E69" i="10"/>
  <c r="G69" i="10" s="1"/>
  <c r="G171" i="10"/>
  <c r="E185" i="10"/>
  <c r="F15" i="10"/>
  <c r="E15" i="10"/>
  <c r="G15" i="10" s="1"/>
  <c r="B15" i="10"/>
  <c r="I15" i="10" s="1"/>
  <c r="J15" i="10" s="1"/>
  <c r="F149" i="10"/>
  <c r="J149" i="10" s="1"/>
  <c r="F4" i="10"/>
  <c r="G4" i="10" s="1"/>
  <c r="F16" i="10"/>
  <c r="E16" i="10"/>
  <c r="B16" i="10"/>
  <c r="I16" i="10" s="1"/>
  <c r="J77" i="10"/>
  <c r="F89" i="10"/>
  <c r="E89" i="10"/>
  <c r="B89" i="10"/>
  <c r="I89" i="10" s="1"/>
  <c r="G144" i="10"/>
  <c r="E142" i="10"/>
  <c r="G142" i="10" s="1"/>
  <c r="B142" i="10"/>
  <c r="I142" i="10" s="1"/>
  <c r="J142" i="10" s="1"/>
  <c r="B108" i="10"/>
  <c r="I108" i="10" s="1"/>
  <c r="J108" i="10" s="1"/>
  <c r="E41" i="10"/>
  <c r="G41" i="10" s="1"/>
  <c r="J47" i="10"/>
  <c r="B60" i="10"/>
  <c r="I60" i="10" s="1"/>
  <c r="J60" i="10" s="1"/>
  <c r="B75" i="10"/>
  <c r="I75" i="10" s="1"/>
  <c r="J75" i="10" s="1"/>
  <c r="B93" i="10"/>
  <c r="I93" i="10" s="1"/>
  <c r="F93" i="10"/>
  <c r="E93" i="10"/>
  <c r="E60" i="10"/>
  <c r="G60" i="10" s="1"/>
  <c r="B67" i="10"/>
  <c r="I67" i="10" s="1"/>
  <c r="J67" i="10" s="1"/>
  <c r="E75" i="10"/>
  <c r="G75" i="10" s="1"/>
  <c r="B115" i="10"/>
  <c r="I115" i="10" s="1"/>
  <c r="J115" i="10" s="1"/>
  <c r="E28" i="10"/>
  <c r="G28" i="10" s="1"/>
  <c r="E67" i="10"/>
  <c r="G67" i="10" s="1"/>
  <c r="E115" i="10"/>
  <c r="G115" i="10" s="1"/>
  <c r="E68" i="10"/>
  <c r="B68" i="10"/>
  <c r="I68" i="10" s="1"/>
  <c r="F68" i="10"/>
  <c r="B37" i="10"/>
  <c r="I37" i="10" s="1"/>
  <c r="F37" i="10"/>
  <c r="E37" i="10"/>
  <c r="F122" i="10"/>
  <c r="E122" i="10"/>
  <c r="G122" i="10" s="1"/>
  <c r="B122" i="10"/>
  <c r="I122" i="10" s="1"/>
  <c r="F43" i="10"/>
  <c r="E43" i="10"/>
  <c r="B43" i="10"/>
  <c r="I43" i="10" s="1"/>
  <c r="E50" i="10"/>
  <c r="F50" i="10"/>
  <c r="B50" i="10"/>
  <c r="I50" i="10" s="1"/>
  <c r="B172" i="10"/>
  <c r="I172" i="10" s="1"/>
  <c r="J172" i="10" s="1"/>
  <c r="F11" i="10"/>
  <c r="E11" i="10"/>
  <c r="G11" i="10" s="1"/>
  <c r="B11" i="10"/>
  <c r="I11" i="10" s="1"/>
  <c r="J11" i="10" s="1"/>
  <c r="E44" i="10"/>
  <c r="G44" i="10" s="1"/>
  <c r="B44" i="10"/>
  <c r="I44" i="10" s="1"/>
  <c r="J44" i="10" s="1"/>
  <c r="E117" i="10"/>
  <c r="E172" i="10"/>
  <c r="G172" i="10" s="1"/>
  <c r="F186" i="10"/>
  <c r="E186" i="10"/>
  <c r="F108" i="10"/>
  <c r="G108" i="10" s="1"/>
  <c r="E160" i="10"/>
  <c r="G160" i="10" s="1"/>
  <c r="E5" i="10"/>
  <c r="B5" i="10"/>
  <c r="I5" i="10" s="1"/>
  <c r="F30" i="10"/>
  <c r="E30" i="10"/>
  <c r="G30" i="10" s="1"/>
  <c r="B30" i="10"/>
  <c r="I30" i="10" s="1"/>
  <c r="J30" i="10" s="1"/>
  <c r="F111" i="10"/>
  <c r="E111" i="10"/>
  <c r="F117" i="10"/>
  <c r="J117" i="10" s="1"/>
  <c r="J186" i="10"/>
  <c r="F5" i="10"/>
  <c r="F25" i="10"/>
  <c r="E25" i="10"/>
  <c r="B25" i="10"/>
  <c r="I25" i="10" s="1"/>
  <c r="G84" i="10"/>
  <c r="F104" i="10"/>
  <c r="E104" i="10"/>
  <c r="G104" i="10" s="1"/>
  <c r="B111" i="10"/>
  <c r="I111" i="10" s="1"/>
  <c r="F66" i="10"/>
  <c r="G66" i="10" s="1"/>
  <c r="B66" i="10"/>
  <c r="I66" i="10" s="1"/>
  <c r="E149" i="10"/>
  <c r="F63" i="10"/>
  <c r="J63" i="10" s="1"/>
  <c r="E63" i="10"/>
  <c r="G63" i="10" s="1"/>
  <c r="J91" i="10"/>
  <c r="B104" i="10"/>
  <c r="I104" i="10" s="1"/>
  <c r="F12" i="10"/>
  <c r="E12" i="10"/>
  <c r="B12" i="10"/>
  <c r="I12" i="10" s="1"/>
  <c r="F105" i="10"/>
  <c r="E105" i="10"/>
  <c r="G105" i="10" s="1"/>
  <c r="B105" i="10"/>
  <c r="I105" i="10" s="1"/>
  <c r="J105" i="10" s="1"/>
  <c r="J124" i="10"/>
  <c r="G132" i="10"/>
  <c r="F170" i="10"/>
  <c r="E170" i="10"/>
  <c r="G170" i="10" s="1"/>
  <c r="B170" i="10"/>
  <c r="I170" i="10" s="1"/>
  <c r="J170" i="10" s="1"/>
  <c r="F83" i="10"/>
  <c r="E83" i="10"/>
  <c r="G83" i="10" s="1"/>
  <c r="B83" i="10"/>
  <c r="I83" i="10" s="1"/>
  <c r="J83" i="10" s="1"/>
  <c r="B96" i="10"/>
  <c r="I96" i="10" s="1"/>
  <c r="J96" i="10" s="1"/>
  <c r="B154" i="10"/>
  <c r="I154" i="10" s="1"/>
  <c r="J154" i="10" s="1"/>
  <c r="B159" i="10"/>
  <c r="I159" i="10" s="1"/>
  <c r="J159" i="10" s="1"/>
  <c r="E23" i="10"/>
  <c r="E55" i="10"/>
  <c r="G55" i="10" s="1"/>
  <c r="E154" i="10"/>
  <c r="G154" i="10" s="1"/>
  <c r="E159" i="10"/>
  <c r="G159" i="10" s="1"/>
  <c r="E76" i="10"/>
  <c r="F76" i="10"/>
  <c r="B14" i="10"/>
  <c r="I14" i="10" s="1"/>
  <c r="E35" i="10"/>
  <c r="G35" i="10" s="1"/>
  <c r="B48" i="10"/>
  <c r="I48" i="10" s="1"/>
  <c r="B76" i="10"/>
  <c r="I76" i="10" s="1"/>
  <c r="J76" i="10" s="1"/>
  <c r="B168" i="10"/>
  <c r="I168" i="10" s="1"/>
  <c r="J168" i="10" s="1"/>
  <c r="F161" i="10"/>
  <c r="E161" i="10"/>
  <c r="G161" i="10" s="1"/>
  <c r="F57" i="10"/>
  <c r="B57" i="10"/>
  <c r="I57" i="10" s="1"/>
  <c r="E57" i="10"/>
  <c r="G57" i="10" s="1"/>
  <c r="F81" i="10"/>
  <c r="J81" i="10" s="1"/>
  <c r="B161" i="10"/>
  <c r="I161" i="10" s="1"/>
  <c r="B173" i="10"/>
  <c r="I173" i="10" s="1"/>
  <c r="J173" i="10" s="1"/>
  <c r="E162" i="10"/>
  <c r="G162" i="10" s="1"/>
  <c r="B162" i="10"/>
  <c r="I162" i="10" s="1"/>
  <c r="J162" i="10" s="1"/>
  <c r="E173" i="10"/>
  <c r="G173" i="10" s="1"/>
  <c r="F187" i="10"/>
  <c r="E187" i="10"/>
  <c r="G187" i="10" s="1"/>
  <c r="B134" i="10"/>
  <c r="I134" i="10" s="1"/>
  <c r="J134" i="10" s="1"/>
  <c r="B139" i="10"/>
  <c r="I139" i="10" s="1"/>
  <c r="J139" i="10" s="1"/>
  <c r="F162" i="10"/>
  <c r="B187" i="10"/>
  <c r="I187" i="10" s="1"/>
  <c r="J187" i="10" s="1"/>
  <c r="B36" i="10"/>
  <c r="I36" i="10" s="1"/>
  <c r="J36" i="10" s="1"/>
  <c r="B45" i="10"/>
  <c r="I45" i="10" s="1"/>
  <c r="J45" i="10" s="1"/>
  <c r="B49" i="10"/>
  <c r="I49" i="10" s="1"/>
  <c r="J49" i="10" s="1"/>
  <c r="F53" i="10"/>
  <c r="G53" i="10" s="1"/>
  <c r="B110" i="10"/>
  <c r="I110" i="10" s="1"/>
  <c r="J110" i="10" s="1"/>
  <c r="E134" i="10"/>
  <c r="G134" i="10" s="1"/>
  <c r="E139" i="10"/>
  <c r="G139" i="10" s="1"/>
  <c r="B157" i="10"/>
  <c r="I157" i="10" s="1"/>
  <c r="J157" i="10" s="1"/>
  <c r="B169" i="10"/>
  <c r="I169" i="10" s="1"/>
  <c r="J169" i="10" s="1"/>
  <c r="E188" i="10"/>
  <c r="G188" i="10" s="1"/>
  <c r="B188" i="10"/>
  <c r="I188" i="10" s="1"/>
  <c r="J188" i="10" s="1"/>
  <c r="B101" i="10"/>
  <c r="I101" i="10" s="1"/>
  <c r="J101" i="10" s="1"/>
  <c r="E36" i="10"/>
  <c r="G36" i="10" s="1"/>
  <c r="E45" i="10"/>
  <c r="G45" i="10" s="1"/>
  <c r="E49" i="10"/>
  <c r="G49" i="10" s="1"/>
  <c r="E86" i="10"/>
  <c r="F86" i="10"/>
  <c r="B95" i="10"/>
  <c r="I95" i="10" s="1"/>
  <c r="E106" i="10"/>
  <c r="M106" i="10" s="1"/>
  <c r="B106" i="10"/>
  <c r="I106" i="10" s="1"/>
  <c r="F110" i="10"/>
  <c r="G110" i="10" s="1"/>
  <c r="B128" i="10"/>
  <c r="I128" i="10" s="1"/>
  <c r="B144" i="10"/>
  <c r="I144" i="10" s="1"/>
  <c r="J144" i="10" s="1"/>
  <c r="E157" i="10"/>
  <c r="G157" i="10" s="1"/>
  <c r="E169" i="10"/>
  <c r="G169" i="10" s="1"/>
  <c r="B86" i="10"/>
  <c r="I86" i="10" s="1"/>
  <c r="F106" i="10"/>
  <c r="B119" i="10"/>
  <c r="I119" i="10" s="1"/>
  <c r="J119" i="10" s="1"/>
  <c r="B129" i="10"/>
  <c r="I129" i="10" s="1"/>
  <c r="J129" i="10" s="1"/>
  <c r="B151" i="10"/>
  <c r="I151" i="10" s="1"/>
  <c r="J151" i="10" s="1"/>
  <c r="B177" i="10"/>
  <c r="I177" i="10" s="1"/>
  <c r="J177" i="10" s="1"/>
  <c r="B6" i="10"/>
  <c r="I6" i="10" s="1"/>
  <c r="J6" i="10" s="1"/>
  <c r="B40" i="10"/>
  <c r="I40" i="10" s="1"/>
  <c r="J40" i="10" s="1"/>
  <c r="B64" i="10"/>
  <c r="I64" i="10" s="1"/>
  <c r="J64" i="10" s="1"/>
  <c r="B102" i="10"/>
  <c r="I102" i="10" s="1"/>
  <c r="J102" i="10" s="1"/>
  <c r="E119" i="10"/>
  <c r="G119" i="10" s="1"/>
  <c r="E129" i="10"/>
  <c r="G129" i="10" s="1"/>
  <c r="B138" i="10"/>
  <c r="I138" i="10" s="1"/>
  <c r="J138" i="10" s="1"/>
  <c r="E151" i="10"/>
  <c r="G151" i="10" s="1"/>
  <c r="B158" i="10"/>
  <c r="I158" i="10" s="1"/>
  <c r="J158" i="10" s="1"/>
  <c r="E177" i="10"/>
  <c r="G177" i="10" s="1"/>
  <c r="B184" i="10"/>
  <c r="I184" i="10" s="1"/>
  <c r="J184" i="10" s="1"/>
  <c r="E6" i="10"/>
  <c r="G6" i="10" s="1"/>
  <c r="E40" i="10"/>
  <c r="G40" i="10" s="1"/>
  <c r="E64" i="10"/>
  <c r="G64" i="10" s="1"/>
  <c r="E102" i="10"/>
  <c r="G102" i="10" s="1"/>
  <c r="E138" i="10"/>
  <c r="G138" i="10" s="1"/>
  <c r="E158" i="10"/>
  <c r="G158" i="10" s="1"/>
  <c r="B167" i="10"/>
  <c r="I167" i="10" s="1"/>
  <c r="E184" i="10"/>
  <c r="G184" i="10" s="1"/>
  <c r="E185" i="9"/>
  <c r="G185" i="9" s="1"/>
  <c r="B185" i="9"/>
  <c r="I185" i="9" s="1"/>
  <c r="J185" i="9" s="1"/>
  <c r="F175" i="9"/>
  <c r="J175" i="9" s="1"/>
  <c r="E175" i="9"/>
  <c r="E179" i="9"/>
  <c r="F174" i="9"/>
  <c r="J174" i="9" s="1"/>
  <c r="E174" i="9"/>
  <c r="G174" i="9" s="1"/>
  <c r="E183" i="9"/>
  <c r="F178" i="9"/>
  <c r="J178" i="9" s="1"/>
  <c r="E178" i="9"/>
  <c r="G178" i="9" s="1"/>
  <c r="F173" i="9"/>
  <c r="J173" i="9" s="1"/>
  <c r="E173" i="9"/>
  <c r="F187" i="9"/>
  <c r="B172" i="9"/>
  <c r="I172" i="9" s="1"/>
  <c r="J172" i="9" s="1"/>
  <c r="E172" i="9"/>
  <c r="G172" i="9" s="1"/>
  <c r="F168" i="9"/>
  <c r="G168" i="9" s="1"/>
  <c r="F166" i="9"/>
  <c r="E166" i="9"/>
  <c r="B165" i="9"/>
  <c r="I165" i="9" s="1"/>
  <c r="J165" i="9" s="1"/>
  <c r="E165" i="9"/>
  <c r="G165" i="9" s="1"/>
  <c r="F14" i="9"/>
  <c r="J14" i="9" s="1"/>
  <c r="E14" i="9"/>
  <c r="F7" i="9"/>
  <c r="G7" i="9" s="1"/>
  <c r="F17" i="9"/>
  <c r="J17" i="9" s="1"/>
  <c r="E17" i="9"/>
  <c r="F10" i="9"/>
  <c r="G10" i="9" s="1"/>
  <c r="E12" i="9"/>
  <c r="F5" i="9"/>
  <c r="J5" i="9" s="1"/>
  <c r="E5" i="9"/>
  <c r="G5" i="9" s="1"/>
  <c r="F15" i="9"/>
  <c r="J15" i="9" s="1"/>
  <c r="B4" i="9"/>
  <c r="I4" i="9" s="1"/>
  <c r="J4" i="9" s="1"/>
  <c r="E4" i="9"/>
  <c r="G4" i="9" s="1"/>
  <c r="G25" i="9"/>
  <c r="J25" i="9"/>
  <c r="F23" i="9"/>
  <c r="J23" i="9" s="1"/>
  <c r="E23" i="9"/>
  <c r="G23" i="9" s="1"/>
  <c r="E26" i="9"/>
  <c r="G26" i="9" s="1"/>
  <c r="F29" i="9"/>
  <c r="J29" i="9" s="1"/>
  <c r="E29" i="9"/>
  <c r="F22" i="9"/>
  <c r="F32" i="9"/>
  <c r="J32" i="9" s="1"/>
  <c r="G54" i="9"/>
  <c r="J63" i="9"/>
  <c r="E61" i="9"/>
  <c r="G61" i="9" s="1"/>
  <c r="E37" i="9"/>
  <c r="G37" i="9" s="1"/>
  <c r="E64" i="9"/>
  <c r="G64" i="9" s="1"/>
  <c r="E40" i="9"/>
  <c r="G40" i="9" s="1"/>
  <c r="F50" i="9"/>
  <c r="J50" i="9" s="1"/>
  <c r="E50" i="9"/>
  <c r="F36" i="9"/>
  <c r="J36" i="9" s="1"/>
  <c r="F70" i="9"/>
  <c r="J70" i="9" s="1"/>
  <c r="E53" i="9"/>
  <c r="F46" i="9"/>
  <c r="J46" i="9" s="1"/>
  <c r="F53" i="9"/>
  <c r="J53" i="9" s="1"/>
  <c r="B35" i="9"/>
  <c r="I35" i="9" s="1"/>
  <c r="J35" i="9" s="1"/>
  <c r="E35" i="9"/>
  <c r="G35" i="9" s="1"/>
  <c r="F91" i="9"/>
  <c r="J91" i="9" s="1"/>
  <c r="E91" i="9"/>
  <c r="G91" i="9" s="1"/>
  <c r="F84" i="9"/>
  <c r="J84" i="9" s="1"/>
  <c r="E84" i="9"/>
  <c r="F77" i="9"/>
  <c r="G77" i="9" s="1"/>
  <c r="B92" i="9"/>
  <c r="I92" i="9" s="1"/>
  <c r="B77" i="9"/>
  <c r="I77" i="9" s="1"/>
  <c r="E96" i="9"/>
  <c r="F90" i="9"/>
  <c r="J90" i="9" s="1"/>
  <c r="E90" i="9"/>
  <c r="G90" i="9" s="1"/>
  <c r="F76" i="9"/>
  <c r="E93" i="9"/>
  <c r="F86" i="9"/>
  <c r="G86" i="9" s="1"/>
  <c r="B86" i="9"/>
  <c r="I86" i="9" s="1"/>
  <c r="J86" i="9" s="1"/>
  <c r="F93" i="9"/>
  <c r="J93" i="9" s="1"/>
  <c r="G75" i="9"/>
  <c r="B75" i="9"/>
  <c r="I75" i="9" s="1"/>
  <c r="J75" i="9" s="1"/>
  <c r="F111" i="9"/>
  <c r="J111" i="9" s="1"/>
  <c r="E111" i="9"/>
  <c r="G111" i="9" s="1"/>
  <c r="F106" i="9"/>
  <c r="J106" i="9" s="1"/>
  <c r="F123" i="9"/>
  <c r="J123" i="9" s="1"/>
  <c r="E106" i="9"/>
  <c r="G106" i="9" s="1"/>
  <c r="F112" i="9"/>
  <c r="G112" i="9" s="1"/>
  <c r="F119" i="9"/>
  <c r="J119" i="9" s="1"/>
  <c r="E119" i="9"/>
  <c r="G119" i="9" s="1"/>
  <c r="F101" i="9"/>
  <c r="J101" i="9" s="1"/>
  <c r="E101" i="9"/>
  <c r="E135" i="9"/>
  <c r="F146" i="9"/>
  <c r="E136" i="9"/>
  <c r="F136" i="9"/>
  <c r="F148" i="9"/>
  <c r="E149" i="9"/>
  <c r="F149" i="9"/>
  <c r="J149" i="9" s="1"/>
  <c r="E171" i="9"/>
  <c r="F138" i="9"/>
  <c r="J138" i="9" s="1"/>
  <c r="E150" i="9"/>
  <c r="E162" i="9"/>
  <c r="F171" i="9"/>
  <c r="E139" i="9"/>
  <c r="F150" i="9"/>
  <c r="F162" i="9"/>
  <c r="J162" i="9" s="1"/>
  <c r="G146" i="9"/>
  <c r="E148" i="9"/>
  <c r="G148" i="9" s="1"/>
  <c r="E161" i="9"/>
  <c r="G161" i="9" s="1"/>
  <c r="E140" i="9"/>
  <c r="G140" i="9" s="1"/>
  <c r="E151" i="9"/>
  <c r="G151" i="9" s="1"/>
  <c r="F159" i="9"/>
  <c r="J159" i="9" s="1"/>
  <c r="E160" i="9"/>
  <c r="E137" i="9"/>
  <c r="G137" i="9" s="1"/>
  <c r="F160" i="9"/>
  <c r="J160" i="9" s="1"/>
  <c r="F137" i="9"/>
  <c r="J137" i="9" s="1"/>
  <c r="E138" i="9"/>
  <c r="F139" i="9"/>
  <c r="J139" i="9" s="1"/>
  <c r="E159" i="9"/>
  <c r="F140" i="9"/>
  <c r="J140" i="9" s="1"/>
  <c r="F151" i="9"/>
  <c r="J151" i="9" s="1"/>
  <c r="F135" i="9"/>
  <c r="J135" i="9" s="1"/>
  <c r="E147" i="9"/>
  <c r="F147" i="9"/>
  <c r="J147" i="9" s="1"/>
  <c r="F161" i="9"/>
  <c r="J161" i="9" s="1"/>
  <c r="E141" i="9"/>
  <c r="G141" i="9" s="1"/>
  <c r="E152" i="9"/>
  <c r="G152" i="9" s="1"/>
  <c r="G33" i="13" l="1"/>
  <c r="G16" i="13"/>
  <c r="G13" i="13"/>
  <c r="G179" i="9"/>
  <c r="J43" i="10"/>
  <c r="G51" i="9"/>
  <c r="G42" i="9"/>
  <c r="G87" i="10"/>
  <c r="G139" i="9"/>
  <c r="G50" i="9"/>
  <c r="G43" i="10"/>
  <c r="J185" i="10"/>
  <c r="G145" i="9"/>
  <c r="G48" i="9"/>
  <c r="G143" i="9"/>
  <c r="G12" i="9"/>
  <c r="J12" i="10"/>
  <c r="G111" i="10"/>
  <c r="G167" i="9"/>
  <c r="G58" i="9"/>
  <c r="K106" i="10"/>
  <c r="K109" i="10"/>
  <c r="J48" i="10"/>
  <c r="G12" i="10"/>
  <c r="J122" i="10"/>
  <c r="J168" i="9"/>
  <c r="G45" i="9"/>
  <c r="G82" i="9"/>
  <c r="J52" i="9"/>
  <c r="G27" i="9"/>
  <c r="G147" i="9"/>
  <c r="G171" i="9"/>
  <c r="J89" i="10"/>
  <c r="G175" i="10"/>
  <c r="G68" i="9"/>
  <c r="G103" i="9"/>
  <c r="G122" i="9"/>
  <c r="J14" i="10"/>
  <c r="G180" i="10"/>
  <c r="G76" i="9"/>
  <c r="G14" i="9"/>
  <c r="J167" i="10"/>
  <c r="G89" i="10"/>
  <c r="G79" i="10"/>
  <c r="G145" i="10"/>
  <c r="G127" i="9"/>
  <c r="G183" i="9"/>
  <c r="J141" i="10"/>
  <c r="J78" i="10"/>
  <c r="J71" i="10"/>
  <c r="G96" i="9"/>
  <c r="J128" i="10"/>
  <c r="G81" i="10"/>
  <c r="G155" i="9"/>
  <c r="G39" i="9"/>
  <c r="G166" i="9"/>
  <c r="G23" i="10"/>
  <c r="J66" i="10"/>
  <c r="G186" i="10"/>
  <c r="G68" i="10"/>
  <c r="J72" i="10"/>
  <c r="G133" i="10"/>
  <c r="J153" i="10"/>
  <c r="G133" i="9"/>
  <c r="G125" i="9"/>
  <c r="G154" i="9"/>
  <c r="J167" i="9"/>
  <c r="L106" i="10"/>
  <c r="G120" i="10"/>
  <c r="J13" i="10"/>
  <c r="G183" i="10"/>
  <c r="J22" i="9"/>
  <c r="G127" i="10"/>
  <c r="G187" i="9"/>
  <c r="J187" i="9"/>
  <c r="G138" i="9"/>
  <c r="J92" i="9"/>
  <c r="G101" i="9"/>
  <c r="G84" i="9"/>
  <c r="G29" i="9"/>
  <c r="J95" i="10"/>
  <c r="G141" i="10"/>
  <c r="G156" i="10"/>
  <c r="G91" i="10"/>
  <c r="J86" i="10"/>
  <c r="G76" i="10"/>
  <c r="J104" i="10"/>
  <c r="J5" i="10"/>
  <c r="G37" i="10"/>
  <c r="J9" i="10"/>
  <c r="G39" i="10"/>
  <c r="G5" i="10"/>
  <c r="J37" i="10"/>
  <c r="G149" i="10"/>
  <c r="G112" i="10"/>
  <c r="J106" i="10"/>
  <c r="J31" i="10"/>
  <c r="G106" i="10"/>
  <c r="J68" i="10"/>
  <c r="J16" i="10"/>
  <c r="G31" i="10"/>
  <c r="G50" i="10"/>
  <c r="G16" i="10"/>
  <c r="J93" i="10"/>
  <c r="G117" i="10"/>
  <c r="J111" i="10"/>
  <c r="J161" i="10"/>
  <c r="J27" i="10"/>
  <c r="J57" i="10"/>
  <c r="J25" i="10"/>
  <c r="G185" i="10"/>
  <c r="G86" i="10"/>
  <c r="G25" i="10"/>
  <c r="J50" i="10"/>
  <c r="G93" i="10"/>
  <c r="G173" i="9"/>
  <c r="G175" i="9"/>
  <c r="G17" i="9"/>
  <c r="G15" i="9"/>
  <c r="J7" i="9"/>
  <c r="J10" i="9"/>
  <c r="G22" i="9"/>
  <c r="G32" i="9"/>
  <c r="G36" i="9"/>
  <c r="G70" i="9"/>
  <c r="G46" i="9"/>
  <c r="G53" i="9"/>
  <c r="G93" i="9"/>
  <c r="J77" i="9"/>
  <c r="J76" i="9"/>
  <c r="G123" i="9"/>
  <c r="J112" i="9"/>
  <c r="G160" i="9"/>
  <c r="G162" i="9"/>
  <c r="G150" i="9"/>
  <c r="G149" i="9"/>
  <c r="G159" i="9"/>
  <c r="G136" i="9"/>
  <c r="G135" i="9"/>
  <c r="Q13" i="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<sst xmlns="http://schemas.openxmlformats.org/spreadsheetml/2006/main" count="907" uniqueCount="240">
  <si>
    <t>seeds: 79 14 55 13</t>
  </si>
  <si>
    <t>seed-to-soil map:</t>
  </si>
  <si>
    <t>50 98 2</t>
  </si>
  <si>
    <t>52 50 48</t>
  </si>
  <si>
    <t>soil-to-fertilizer map:</t>
  </si>
  <si>
    <t>0 15 37</t>
  </si>
  <si>
    <t>37 52 2</t>
  </si>
  <si>
    <t>39 0 15</t>
  </si>
  <si>
    <t>fertilizer-to-water map:</t>
  </si>
  <si>
    <t>49 53 8</t>
  </si>
  <si>
    <t>0 11 42</t>
  </si>
  <si>
    <t>42 0 7</t>
  </si>
  <si>
    <t>57 7 4</t>
  </si>
  <si>
    <t>water-to-light map:</t>
  </si>
  <si>
    <t>88 18 7</t>
  </si>
  <si>
    <t>18 25 70</t>
  </si>
  <si>
    <t>light-to-temperature map:</t>
  </si>
  <si>
    <t>45 77 23</t>
  </si>
  <si>
    <t>81 45 19</t>
  </si>
  <si>
    <t>68 64 13</t>
  </si>
  <si>
    <t>temperature-to-humidity map:</t>
  </si>
  <si>
    <t>0 69 1</t>
  </si>
  <si>
    <t>1 0 69</t>
  </si>
  <si>
    <t>humidity-to-location map:</t>
  </si>
  <si>
    <t>60 56 37</t>
  </si>
  <si>
    <t>56 93 4</t>
  </si>
  <si>
    <t>seeds: 2494933545 159314859 4045092792 172620202 928898138 554061882 2740120981 81327018 2031777983 63513119 2871914181 270575980 2200250633 216481794 3289604059 25147787 3472625834 10030240 260990830 232636388</t>
  </si>
  <si>
    <t>3272284283 2724782980 1022683013</t>
  </si>
  <si>
    <t>138187491 4195038636 99928660</t>
  </si>
  <si>
    <t>2359623759 797621236 127984779</t>
  </si>
  <si>
    <t>662451929 2224466386 266466256</t>
  </si>
  <si>
    <t>928918185 714355413 83265823</t>
  </si>
  <si>
    <t>1012184008 3891516474 303522162</t>
  </si>
  <si>
    <t>3063776460 1098322140 208507823</t>
  </si>
  <si>
    <t>2194238166 1306829963 50525692</t>
  </si>
  <si>
    <t>357106588 2091837170 132629216</t>
  </si>
  <si>
    <t>2244763858 2490932642 114859901</t>
  </si>
  <si>
    <t>2050187685 3747465993 144050481</t>
  </si>
  <si>
    <t>489735804 925606015 172716125</t>
  </si>
  <si>
    <t>2487608538 138187491 576167922</t>
  </si>
  <si>
    <t>238116151 2605792543 118990437</t>
  </si>
  <si>
    <t>1315706170 1357355655 734481515</t>
  </si>
  <si>
    <t>4265669768 2142212766 29297528</t>
  </si>
  <si>
    <t>2030756625 2171510294 69737894</t>
  </si>
  <si>
    <t>3038084234 3411621093 262803613</t>
  </si>
  <si>
    <t>2410534622 3266307064 145314029</t>
  </si>
  <si>
    <t>2667304792 2241248188 370779442</t>
  </si>
  <si>
    <t>2100494519 3921619167 310040103</t>
  </si>
  <si>
    <t>3611390334 2612027630 654279434</t>
  </si>
  <si>
    <t>2555848651 2030756625 111456141</t>
  </si>
  <si>
    <t>733063720 869238953 195075492</t>
  </si>
  <si>
    <t>3300887847 4231659270 63308026</t>
  </si>
  <si>
    <t>3364195873 3674424706 247194461</t>
  </si>
  <si>
    <t>928139212 733063720 136175233</t>
  </si>
  <si>
    <t>0 772139976 154052576</t>
  </si>
  <si>
    <t>909628165 428370542 51644443</t>
  </si>
  <si>
    <t>3172969725 4109584032 185383264</t>
  </si>
  <si>
    <t>1116931128 1046566515 14194115</t>
  </si>
  <si>
    <t>223777814 10055892 255169216</t>
  </si>
  <si>
    <t>2512535520 1229983026 60386000</t>
  </si>
  <si>
    <t>3109777744 3899207072 16374329</t>
  </si>
  <si>
    <t>4030761870 3829858282 12540292</t>
  </si>
  <si>
    <t>828135093 718323602 53816374</t>
  </si>
  <si>
    <t>2358450176 2554590817 154085344</t>
  </si>
  <si>
    <t>3126152073 3152512175 46817652</t>
  </si>
  <si>
    <t>4043302162 3842398574 56808498</t>
  </si>
  <si>
    <t>3694349069 3493296400 336412801</t>
  </si>
  <si>
    <t>770911368 661099877 57223725</t>
  </si>
  <si>
    <t>3574254366 3032417472 120094703</t>
  </si>
  <si>
    <t>2689829955 2124052738 139986329</t>
  </si>
  <si>
    <t>3358352989 1925653441 3542661</t>
  </si>
  <si>
    <t>154052576 1060760630 69725238</t>
  </si>
  <si>
    <t>3460616091 3829709201 149081</t>
  </si>
  <si>
    <t>881951467 480014985 9494517</t>
  </si>
  <si>
    <t>1777535488 3915581401 135358522</t>
  </si>
  <si>
    <t>2829816284 1290369026 84715328</t>
  </si>
  <si>
    <t>478947030 489509502 171590375</t>
  </si>
  <si>
    <t>2686813330 1226966401 3016625</t>
  </si>
  <si>
    <t>3361895650 3199329827 98720441</t>
  </si>
  <si>
    <t>1226966401 1375084354 550569087</t>
  </si>
  <si>
    <t>3515610257 4050939923 58644109</t>
  </si>
  <si>
    <t>650537405 926192552 120373963</t>
  </si>
  <si>
    <t>4100110660 1929196102 194856636</t>
  </si>
  <si>
    <t>1912894010 2708676161 323741311</t>
  </si>
  <si>
    <t>3460765172 2264039067 54845085</t>
  </si>
  <si>
    <t>898932898 0 10055892</t>
  </si>
  <si>
    <t>891445984 265225108 7486914</t>
  </si>
  <si>
    <t>2914531612 3298050268 195246132</t>
  </si>
  <si>
    <t>2572921520 2318884152 113891810</t>
  </si>
  <si>
    <t>961272608 272712022 155658520</t>
  </si>
  <si>
    <t>908988790 1130485868 639375</t>
  </si>
  <si>
    <t>2236635321 2432775962 121814855</t>
  </si>
  <si>
    <t>2821176146 2286693663 106119314</t>
  </si>
  <si>
    <t>3822234587 2463633329 180779736</t>
  </si>
  <si>
    <t>1725724347 2842879211 104224606</t>
  </si>
  <si>
    <t>3308097155 4172728180 122239116</t>
  </si>
  <si>
    <t>3299768179 2834550235 8328976</t>
  </si>
  <si>
    <t>525232540 357109336 38255672</t>
  </si>
  <si>
    <t>751267412 803626289 867213460</t>
  </si>
  <si>
    <t>2181067610 2392812977 70820352</t>
  </si>
  <si>
    <t>2251887962 2644413065 134698828</t>
  </si>
  <si>
    <t>3430336271 3994876090 163182805</t>
  </si>
  <si>
    <t>357109336 395365008 62712446</t>
  </si>
  <si>
    <t>3646455511 2158365540 128328123</t>
  </si>
  <si>
    <t>3084834769 2947103817 214933410</t>
  </si>
  <si>
    <t>1618480872 3954660777 40215313</t>
  </si>
  <si>
    <t>1673365470 751267412 52358877</t>
  </si>
  <si>
    <t>2927295460 3797121468 157539309</t>
  </si>
  <si>
    <t>2386586790 1723776184 434589356</t>
  </si>
  <si>
    <t>3774783634 2779111893 47450953</t>
  </si>
  <si>
    <t>4003014323 3162037227 291952973</t>
  </si>
  <si>
    <t>419821782 458077454 105410758</t>
  </si>
  <si>
    <t>3593519076 1670839749 52936435</t>
  </si>
  <si>
    <t>1658696185 4158058895 14669285</t>
  </si>
  <si>
    <t>2173080221 2826562846 7987389</t>
  </si>
  <si>
    <t>1829948953 3453990200 343131268</t>
  </si>
  <si>
    <t>457330729 4090205185 204762111</t>
  </si>
  <si>
    <t>2982196520 3401667644 30193953</t>
  </si>
  <si>
    <t>2238727594 3778270640 263367024</t>
  </si>
  <si>
    <t>2540710222 1921368253 380651678</t>
  </si>
  <si>
    <t>2224576409 4041637664 14151185</t>
  </si>
  <si>
    <t>1803946096 1170025919 125923944</t>
  </si>
  <si>
    <t>947791690 3069412788 65888847</t>
  </si>
  <si>
    <t>3354708582 3597834895 180435745</t>
  </si>
  <si>
    <t>1173448701 516297801 630497395</t>
  </si>
  <si>
    <t>4079424710 2899828022 88028778</t>
  </si>
  <si>
    <t>1929870040 1295949863 294706369</t>
  </si>
  <si>
    <t>928458849 495946333 19332841</t>
  </si>
  <si>
    <t>3145865299 515279174 1018627</t>
  </si>
  <si>
    <t>3071616223 2825578946 74249076</t>
  </si>
  <si>
    <t>3012390473 3431861597 52676537</t>
  </si>
  <si>
    <t>0 156654134 174053721</t>
  </si>
  <si>
    <t>1013680537 1590656232 159768164</t>
  </si>
  <si>
    <t>2502094618 457330729 38615604</t>
  </si>
  <si>
    <t>4167453488 3484538134 113296761</t>
  </si>
  <si>
    <t>4058703342 3048691420 20721368</t>
  </si>
  <si>
    <t>3146883926 1750424396 164394644</t>
  </si>
  <si>
    <t>662092840 3135301635 266366009</t>
  </si>
  <si>
    <t>174053721 0 156654134</t>
  </si>
  <si>
    <t>4280750249 4055788849 14217047</t>
  </si>
  <si>
    <t>3311278570 1146795196 23230723</t>
  </si>
  <si>
    <t>3334509293 4070005896 20199289</t>
  </si>
  <si>
    <t>3535144327 2302019931 523559015</t>
  </si>
  <si>
    <t>3065067010 1914819040 6549213</t>
  </si>
  <si>
    <t>2921361900 2987856800 60834620</t>
  </si>
  <si>
    <t>19014508 1616728169 261978440</t>
  </si>
  <si>
    <t>479364011 879054632 183139707</t>
  </si>
  <si>
    <t>3422279791 4197415651 97551645</t>
  </si>
  <si>
    <t>2947838505 2859883311 474441286</t>
  </si>
  <si>
    <t>3922771609 3441941550 130194267</t>
  </si>
  <si>
    <t>1538347549 1285663854 77335299</t>
  </si>
  <si>
    <t>4074125861 3334324597 17231539</t>
  </si>
  <si>
    <t>2692139672 3923798143 165313419</t>
  </si>
  <si>
    <t>3867887507 3572135817 45827004</t>
  </si>
  <si>
    <t>4091357400 2695950683 148956394</t>
  </si>
  <si>
    <t>280992948 874337342 4717290</t>
  </si>
  <si>
    <t>3585981058 4137845928 59569723</t>
  </si>
  <si>
    <t>1194193608 267159640 344153941</t>
  </si>
  <si>
    <t>3645550781 2226309992 39998882</t>
  </si>
  <si>
    <t>2606341883 3617962821 85797789</t>
  </si>
  <si>
    <t>2452453972 3769910232 153887911</t>
  </si>
  <si>
    <t>4279991062 2844907077 14976234</t>
  </si>
  <si>
    <t>4240313794 4089111562 39677268</t>
  </si>
  <si>
    <t>285710238 0 193653773</t>
  </si>
  <si>
    <t>662503718 1585706204 31021965</t>
  </si>
  <si>
    <t>4052965876 2266308874 21159985</t>
  </si>
  <si>
    <t>2226309992 2287468859 226143980</t>
  </si>
  <si>
    <t>0 248145132 19014508</t>
  </si>
  <si>
    <t>3685549663 2513612839 182337844</t>
  </si>
  <si>
    <t>2857453091 3351556136 90385414</t>
  </si>
  <si>
    <t>1139702249 193653773 54491359</t>
  </si>
  <si>
    <t>3913714511 4128788830 9057098</t>
  </si>
  <si>
    <t>916232734 1062194339 223469515</t>
  </si>
  <si>
    <t>1615682848 611313581 263023761</t>
  </si>
  <si>
    <t>693525683 1362999153 222707051</t>
  </si>
  <si>
    <t>3519831436 3703760610 66149622</t>
  </si>
  <si>
    <t>3722067319 3568864729 46052123</t>
  </si>
  <si>
    <t>761939125 1263883488 182519766</t>
  </si>
  <si>
    <t>3952597071 3400791743 168072986</t>
  </si>
  <si>
    <t>1928058 204065059 218803536</t>
  </si>
  <si>
    <t>1797120632 863951513 248903371</t>
  </si>
  <si>
    <t>3409129274 3614916852 109595510</t>
  </si>
  <si>
    <t>0 1261955430 1928058</t>
  </si>
  <si>
    <t>3854871689 2940386871 97725382</t>
  </si>
  <si>
    <t>3518724784 3898809601 159455982</t>
  </si>
  <si>
    <t>220731594 1446403254 100124613</t>
  </si>
  <si>
    <t>944458891 1813379640 207908225</t>
  </si>
  <si>
    <t>3194065032 4058265583 117770911</t>
  </si>
  <si>
    <t>3059317673 3222157831 134747359</t>
  </si>
  <si>
    <t>3678180766 3356905190 43886553</t>
  </si>
  <si>
    <t>3375153977 3124864500 33975297</t>
  </si>
  <si>
    <t>2940386871 4176036494 118930802</t>
  </si>
  <si>
    <t>1152367116 2021287865 24736138</t>
  </si>
  <si>
    <t>3311835943 3158839797 63318034</t>
  </si>
  <si>
    <t>320856207 422868595 441082918</t>
  </si>
  <si>
    <t>1593055573 0 204065059</t>
  </si>
  <si>
    <t>4120670057 3724512362 174297239</t>
  </si>
  <si>
    <t>1177103254 1112854884 149100546</t>
  </si>
  <si>
    <t>1326203800 1546527867 266851773</t>
  </si>
  <si>
    <t>3768119442 3038112253 86752247</t>
  </si>
  <si>
    <t>seed1: 2494933545 159314859</t>
  </si>
  <si>
    <t>seed2: 4045092792 172620202</t>
  </si>
  <si>
    <t>seed3: 928898138 554061882</t>
  </si>
  <si>
    <t>seed4: 2740120981 81327018</t>
  </si>
  <si>
    <t>seed5: 2031777983 63513119</t>
  </si>
  <si>
    <t>seed6: 2871914181 270575980</t>
  </si>
  <si>
    <t>seed7: 2200250633 216481794</t>
  </si>
  <si>
    <t>seed8: 3289604059 25147787</t>
  </si>
  <si>
    <t>seed9: 3472625834 10030240</t>
  </si>
  <si>
    <t>seed0: 260990830 232636388</t>
  </si>
  <si>
    <t>seed1: 79 14</t>
  </si>
  <si>
    <t>seed2: 55 13</t>
  </si>
  <si>
    <t>min-loc-seed: 82 1</t>
  </si>
  <si>
    <t>HUMIDITY RANGE</t>
  </si>
  <si>
    <t>LOCATION RANGE</t>
  </si>
  <si>
    <t>TEMPERATURE RANGE</t>
  </si>
  <si>
    <t>LIGHT RANGE</t>
  </si>
  <si>
    <t>WATER RANGE</t>
  </si>
  <si>
    <t>FERTILIZER RANGE</t>
  </si>
  <si>
    <t>SOIL RANGE</t>
  </si>
  <si>
    <t>SEED RANGE</t>
  </si>
  <si>
    <t>desired temperatures</t>
  </si>
  <si>
    <t>desired light range</t>
  </si>
  <si>
    <t>desired water range</t>
  </si>
  <si>
    <t>desired fertilizer range</t>
  </si>
  <si>
    <t>desired soil range</t>
  </si>
  <si>
    <t>desired seed range</t>
  </si>
  <si>
    <t>seed: 121199540 1</t>
  </si>
  <si>
    <t>desired light ranges</t>
  </si>
  <si>
    <t>seed: 4076319163 1</t>
  </si>
  <si>
    <t>min loc</t>
  </si>
  <si>
    <t>=&gt;</t>
  </si>
  <si>
    <t>desired humidity</t>
  </si>
  <si>
    <t>desired temperature</t>
  </si>
  <si>
    <t>desired light</t>
  </si>
  <si>
    <t>desired water</t>
  </si>
  <si>
    <t>desired fertilizer</t>
  </si>
  <si>
    <t>desired soil</t>
  </si>
  <si>
    <t>Best</t>
  </si>
  <si>
    <t>desired seed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</si>
</sst>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0"/>
      <name val="Arial Unicode MS"/>
    </font>
    <font>
      <sz val="11"/>
      <color theme="1"/>
      <name val="Courier New"/>
      <family val="3"/>
    </font>
    <font>
      <sz val="10"/>
      <name val="Courier New"/>
      <family val="3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2" fontId="0" fillId="0" borderId="0" xfId="0" applyNumberFormat="1"/>
    <xf numFmtId="0" fontId="3" fillId="2" borderId="0" xfId="0" applyFont="1" applyFill="1" applyAlignment="1">
      <alignment vertic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0" borderId="0" xfId="0" applyFont="1"/>
    <xf numFmtId="0" fontId="0" fillId="2" borderId="0" xfId="0" applyFont="1" applyFill="1"/>
    <xf numFmtId="0" fontId="0" fillId="0" borderId="0" xfId="0" applyFont="1" applyFill="1"/>
    <xf numFmtId="0" fontId="0" fillId="9" borderId="0" xfId="0" applyFill="1"/>
    <xf numFmtId="0" fontId="0" fillId="0" borderId="0" xfId="0" quotePrefix="1"/>
    <xf numFmtId="0" fontId="0" fillId="0" borderId="0" xfId="0" applyAlignment="1">
      <alignment horizontal="center"/>
    </xf>
    <xf numFmtId="0" fontId="0" fillId="10" borderId="0" xfId="0" applyFill="1"/>
    <xf numFmtId="0" fontId="0" fillId="11" borderId="0" xfId="0" applyFill="1"/>
    <xf numFmtId="0" fontId="0" fillId="1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B479-DBB0-44B7-8B19-C25566429A79}">
  <sheetPr codeName="Sheet2"/>
  <dimension ref="A1:A33"/>
  <sheetViews>
    <sheetView workbookViewId="0"/>
  </sheetViews>
  <sheetFormatPr defaultRowHeight="15"/>
  <cols>
    <col min="1" max="1" width="38.28515625" bestFit="1" customWidth="1"/>
  </cols>
  <sheetData>
    <row r="1" spans="1:1">
      <c r="A1" s="2" t="s">
        <v>0</v>
      </c>
    </row>
    <row r="2" spans="1:1">
      <c r="A2" s="2"/>
    </row>
    <row r="3" spans="1:1">
      <c r="A3" s="2" t="s">
        <v>1</v>
      </c>
    </row>
    <row r="4" spans="1:1">
      <c r="A4" s="2" t="s">
        <v>2</v>
      </c>
    </row>
    <row r="5" spans="1:1">
      <c r="A5" s="2" t="s">
        <v>3</v>
      </c>
    </row>
    <row r="6" spans="1:1">
      <c r="A6" s="2"/>
    </row>
    <row r="7" spans="1:1">
      <c r="A7" s="2" t="s">
        <v>4</v>
      </c>
    </row>
    <row r="8" spans="1:1">
      <c r="A8" s="2" t="s">
        <v>5</v>
      </c>
    </row>
    <row r="9" spans="1:1">
      <c r="A9" s="2" t="s">
        <v>6</v>
      </c>
    </row>
    <row r="10" spans="1:1">
      <c r="A10" s="2" t="s">
        <v>7</v>
      </c>
    </row>
    <row r="11" spans="1:1">
      <c r="A11" s="2"/>
    </row>
    <row r="12" spans="1:1">
      <c r="A12" s="2" t="s">
        <v>8</v>
      </c>
    </row>
    <row r="13" spans="1:1">
      <c r="A13" s="2" t="s">
        <v>9</v>
      </c>
    </row>
    <row r="14" spans="1:1">
      <c r="A14" s="2" t="s">
        <v>10</v>
      </c>
    </row>
    <row r="15" spans="1:1">
      <c r="A15" s="2" t="s">
        <v>11</v>
      </c>
    </row>
    <row r="16" spans="1:1">
      <c r="A16" s="2" t="s">
        <v>12</v>
      </c>
    </row>
    <row r="17" spans="1:1">
      <c r="A17" s="2"/>
    </row>
    <row r="18" spans="1:1">
      <c r="A18" s="2" t="s">
        <v>13</v>
      </c>
    </row>
    <row r="19" spans="1:1">
      <c r="A19" s="2" t="s">
        <v>14</v>
      </c>
    </row>
    <row r="20" spans="1:1">
      <c r="A20" s="2" t="s">
        <v>15</v>
      </c>
    </row>
    <row r="21" spans="1:1">
      <c r="A21" s="2"/>
    </row>
    <row r="22" spans="1:1">
      <c r="A22" s="2" t="s">
        <v>16</v>
      </c>
    </row>
    <row r="23" spans="1:1">
      <c r="A23" s="2" t="s">
        <v>17</v>
      </c>
    </row>
    <row r="24" spans="1:1">
      <c r="A24" s="2" t="s">
        <v>18</v>
      </c>
    </row>
    <row r="25" spans="1:1">
      <c r="A25" s="2" t="s">
        <v>19</v>
      </c>
    </row>
    <row r="26" spans="1:1">
      <c r="A26" s="2"/>
    </row>
    <row r="27" spans="1:1">
      <c r="A27" s="2" t="s">
        <v>20</v>
      </c>
    </row>
    <row r="28" spans="1:1">
      <c r="A28" s="2" t="s">
        <v>21</v>
      </c>
    </row>
    <row r="29" spans="1:1">
      <c r="A29" s="2" t="s">
        <v>22</v>
      </c>
    </row>
    <row r="30" spans="1:1">
      <c r="A30" s="2"/>
    </row>
    <row r="31" spans="1:1">
      <c r="A31" s="2" t="s">
        <v>23</v>
      </c>
    </row>
    <row r="32" spans="1:1">
      <c r="A32" s="2" t="s">
        <v>24</v>
      </c>
    </row>
    <row r="33" spans="1:1">
      <c r="A33" s="2" t="s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049C8-2576-499E-8721-5C95E6ABE737}">
  <sheetPr codeName="Sheet6"/>
  <dimension ref="A1:F33"/>
  <sheetViews>
    <sheetView workbookViewId="0"/>
  </sheetViews>
  <sheetFormatPr defaultRowHeight="15"/>
  <cols>
    <col min="1" max="1" width="38.28515625" bestFit="1" customWidth="1"/>
  </cols>
  <sheetData>
    <row r="1" spans="1:6">
      <c r="A1" s="2" t="s">
        <v>210</v>
      </c>
      <c r="C1" s="2" t="s">
        <v>0</v>
      </c>
    </row>
    <row r="2" spans="1:6">
      <c r="A2" s="2"/>
      <c r="F2" t="s">
        <v>230</v>
      </c>
    </row>
    <row r="3" spans="1:6">
      <c r="A3" s="2" t="s">
        <v>1</v>
      </c>
      <c r="C3" s="2" t="s">
        <v>210</v>
      </c>
      <c r="E3" s="18" t="s">
        <v>231</v>
      </c>
      <c r="F3" s="19">
        <v>46</v>
      </c>
    </row>
    <row r="4" spans="1:6">
      <c r="A4" s="2" t="s">
        <v>2</v>
      </c>
      <c r="C4" s="2" t="s">
        <v>211</v>
      </c>
      <c r="E4" s="18" t="s">
        <v>231</v>
      </c>
      <c r="F4" s="19">
        <v>56</v>
      </c>
    </row>
    <row r="5" spans="1:6">
      <c r="A5" s="2" t="s">
        <v>3</v>
      </c>
      <c r="C5" s="2" t="s">
        <v>212</v>
      </c>
      <c r="F5" s="19">
        <v>46</v>
      </c>
    </row>
    <row r="6" spans="1:6">
      <c r="A6" s="2"/>
    </row>
    <row r="7" spans="1:6">
      <c r="A7" s="2" t="s">
        <v>4</v>
      </c>
    </row>
    <row r="8" spans="1:6">
      <c r="A8" s="2" t="s">
        <v>5</v>
      </c>
    </row>
    <row r="9" spans="1:6">
      <c r="A9" s="2" t="s">
        <v>6</v>
      </c>
    </row>
    <row r="10" spans="1:6">
      <c r="A10" s="2" t="s">
        <v>7</v>
      </c>
    </row>
    <row r="11" spans="1:6">
      <c r="A11" s="2"/>
    </row>
    <row r="12" spans="1:6">
      <c r="A12" s="2" t="s">
        <v>8</v>
      </c>
    </row>
    <row r="13" spans="1:6">
      <c r="A13" s="2" t="s">
        <v>9</v>
      </c>
    </row>
    <row r="14" spans="1:6">
      <c r="A14" s="2" t="s">
        <v>10</v>
      </c>
    </row>
    <row r="15" spans="1:6">
      <c r="A15" s="2" t="s">
        <v>11</v>
      </c>
    </row>
    <row r="16" spans="1:6">
      <c r="A16" s="2" t="s">
        <v>12</v>
      </c>
    </row>
    <row r="17" spans="1:1">
      <c r="A17" s="2"/>
    </row>
    <row r="18" spans="1:1">
      <c r="A18" s="2" t="s">
        <v>13</v>
      </c>
    </row>
    <row r="19" spans="1:1">
      <c r="A19" s="2" t="s">
        <v>14</v>
      </c>
    </row>
    <row r="20" spans="1:1">
      <c r="A20" s="2" t="s">
        <v>15</v>
      </c>
    </row>
    <row r="21" spans="1:1">
      <c r="A21" s="2"/>
    </row>
    <row r="22" spans="1:1">
      <c r="A22" s="2" t="s">
        <v>16</v>
      </c>
    </row>
    <row r="23" spans="1:1">
      <c r="A23" s="2" t="s">
        <v>17</v>
      </c>
    </row>
    <row r="24" spans="1:1">
      <c r="A24" s="2" t="s">
        <v>18</v>
      </c>
    </row>
    <row r="25" spans="1:1">
      <c r="A25" s="2" t="s">
        <v>19</v>
      </c>
    </row>
    <row r="26" spans="1:1">
      <c r="A26" s="2"/>
    </row>
    <row r="27" spans="1:1">
      <c r="A27" s="2" t="s">
        <v>20</v>
      </c>
    </row>
    <row r="28" spans="1:1">
      <c r="A28" s="2" t="s">
        <v>21</v>
      </c>
    </row>
    <row r="29" spans="1:1">
      <c r="A29" s="2" t="s">
        <v>22</v>
      </c>
    </row>
    <row r="30" spans="1:1">
      <c r="A30" s="2"/>
    </row>
    <row r="31" spans="1:1">
      <c r="A31" s="2" t="s">
        <v>23</v>
      </c>
    </row>
    <row r="32" spans="1:1">
      <c r="A32" s="2" t="s">
        <v>24</v>
      </c>
    </row>
    <row r="33" spans="1:1">
      <c r="A33" s="2" t="s"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D1E23-2719-4A33-BB3F-C885C5A65ADF}">
  <sheetPr codeName="Sheet7"/>
  <dimension ref="A1:O33"/>
  <sheetViews>
    <sheetView tabSelected="1" workbookViewId="0">
      <selection activeCell="M5" sqref="M5"/>
    </sheetView>
  </sheetViews>
  <sheetFormatPr defaultRowHeight="15"/>
  <cols>
    <col min="1" max="1" width="38.28515625" bestFit="1" customWidth="1"/>
  </cols>
  <sheetData>
    <row r="1" spans="1:15">
      <c r="A1" s="2" t="s">
        <v>0</v>
      </c>
    </row>
    <row r="2" spans="1:15">
      <c r="A2" s="2"/>
      <c r="F2" t="s">
        <v>230</v>
      </c>
    </row>
    <row r="3" spans="1:15">
      <c r="A3" s="2" t="s">
        <v>1</v>
      </c>
      <c r="E3" t="s">
        <v>220</v>
      </c>
      <c r="I3" t="s">
        <v>219</v>
      </c>
    </row>
    <row r="4" spans="1:15">
      <c r="A4" s="2" t="s">
        <v>2</v>
      </c>
      <c r="B4" t="str" cm="1">
        <f t="array" ref="B4:D4">_xlfn.TEXTSPLIT(A4," ")</f>
        <v>50</v>
      </c>
      <c r="C4" t="str">
        <v>98</v>
      </c>
      <c r="D4" t="str">
        <v>2</v>
      </c>
      <c r="E4" s="9">
        <f t="shared" ref="E4:F4" si="0">VALUE(C4)</f>
        <v>98</v>
      </c>
      <c r="F4" s="9">
        <f t="shared" si="0"/>
        <v>2</v>
      </c>
      <c r="G4" s="9">
        <f t="shared" ref="G4" si="1">E4+F4-1</f>
        <v>99</v>
      </c>
      <c r="I4" s="9">
        <f>VALUE(B4)</f>
        <v>50</v>
      </c>
      <c r="J4">
        <f t="shared" ref="J4" si="2">I4+F4-1</f>
        <v>51</v>
      </c>
      <c r="M4" t="s">
        <v>239</v>
      </c>
    </row>
    <row r="5" spans="1:15">
      <c r="A5" s="2" t="s">
        <v>3</v>
      </c>
      <c r="B5" t="str" cm="1">
        <f t="array" ref="B5:D5">_xlfn.TEXTSPLIT(A5," ")</f>
        <v>52</v>
      </c>
      <c r="C5" t="str">
        <v>50</v>
      </c>
      <c r="D5" t="str">
        <v>48</v>
      </c>
      <c r="E5" s="9">
        <f t="shared" ref="E5" si="3">VALUE(C5)</f>
        <v>50</v>
      </c>
      <c r="F5" s="9">
        <f t="shared" ref="F5" si="4">VALUE(D5)</f>
        <v>48</v>
      </c>
      <c r="G5" s="9">
        <f t="shared" ref="G5" si="5">E5+F5-1</f>
        <v>97</v>
      </c>
      <c r="I5" s="20">
        <f>VALUE(B5)</f>
        <v>52</v>
      </c>
      <c r="J5" s="20">
        <f t="shared" ref="J5" si="6">I5+F5-1</f>
        <v>99</v>
      </c>
      <c r="K5" s="21">
        <v>84</v>
      </c>
      <c r="L5">
        <v>93</v>
      </c>
      <c r="M5" s="17">
        <f>E5+(K5-I5)</f>
        <v>82</v>
      </c>
      <c r="N5" s="8">
        <f>M5+L5-K5</f>
        <v>91</v>
      </c>
    </row>
    <row r="6" spans="1:15">
      <c r="A6" s="2"/>
      <c r="K6">
        <v>72</v>
      </c>
      <c r="L6">
        <v>72</v>
      </c>
      <c r="M6" s="8">
        <f>E5+(K6-I5)</f>
        <v>70</v>
      </c>
      <c r="N6" s="8">
        <f>M6+L6-K6</f>
        <v>70</v>
      </c>
      <c r="O6" t="s">
        <v>238</v>
      </c>
    </row>
    <row r="7" spans="1:15">
      <c r="A7" s="2" t="s">
        <v>4</v>
      </c>
      <c r="C7" s="4"/>
      <c r="E7" t="s">
        <v>219</v>
      </c>
      <c r="I7" t="s">
        <v>218</v>
      </c>
    </row>
    <row r="8" spans="1:15">
      <c r="A8" s="2" t="s">
        <v>5</v>
      </c>
      <c r="B8" t="str" cm="1">
        <f t="array" ref="B8:D8">_xlfn.TEXTSPLIT(A8," ")</f>
        <v>0</v>
      </c>
      <c r="C8" t="str">
        <v>15</v>
      </c>
      <c r="D8" t="str">
        <v>37</v>
      </c>
      <c r="E8" s="9">
        <f t="shared" ref="E8:F8" si="7">VALUE(C8)</f>
        <v>15</v>
      </c>
      <c r="F8" s="9">
        <f t="shared" si="7"/>
        <v>37</v>
      </c>
      <c r="G8" s="9">
        <f t="shared" ref="G8" si="8">E8+F8-1</f>
        <v>51</v>
      </c>
      <c r="I8" s="9">
        <f>VALUE(B8)</f>
        <v>0</v>
      </c>
      <c r="J8" s="9">
        <f t="shared" ref="J8" si="9">I8+F8-1</f>
        <v>36</v>
      </c>
      <c r="M8" t="s">
        <v>237</v>
      </c>
    </row>
    <row r="9" spans="1:15">
      <c r="A9" s="2" t="s">
        <v>6</v>
      </c>
      <c r="B9" t="str" cm="1">
        <f t="array" ref="B9:D9">_xlfn.TEXTSPLIT(A9," ")</f>
        <v>37</v>
      </c>
      <c r="C9" t="str">
        <v>52</v>
      </c>
      <c r="D9" t="str">
        <v>2</v>
      </c>
      <c r="E9" s="9">
        <f t="shared" ref="E9:E10" si="10">VALUE(C9)</f>
        <v>52</v>
      </c>
      <c r="F9" s="9">
        <f t="shared" ref="F9:F10" si="11">VALUE(D9)</f>
        <v>2</v>
      </c>
      <c r="G9" s="9">
        <f t="shared" ref="G9:G10" si="12">E9+F9-1</f>
        <v>53</v>
      </c>
      <c r="I9">
        <f t="shared" ref="I9:I10" si="13">VALUE(B9)</f>
        <v>37</v>
      </c>
      <c r="J9">
        <f t="shared" ref="J9:J10" si="14">I9+F9-1</f>
        <v>38</v>
      </c>
      <c r="K9" s="12">
        <v>72</v>
      </c>
      <c r="L9" s="12">
        <v>72</v>
      </c>
      <c r="M9" s="10">
        <f>K9</f>
        <v>72</v>
      </c>
      <c r="N9" s="10">
        <f>L9</f>
        <v>72</v>
      </c>
    </row>
    <row r="10" spans="1:15">
      <c r="A10" s="2" t="s">
        <v>7</v>
      </c>
      <c r="B10" t="str" cm="1">
        <f t="array" ref="B10:D10">_xlfn.TEXTSPLIT(A10," ")</f>
        <v>39</v>
      </c>
      <c r="C10" t="str">
        <v>0</v>
      </c>
      <c r="D10" t="str">
        <v>15</v>
      </c>
      <c r="E10" s="9">
        <f t="shared" si="10"/>
        <v>0</v>
      </c>
      <c r="F10" s="9">
        <f t="shared" si="11"/>
        <v>15</v>
      </c>
      <c r="G10" s="9">
        <f t="shared" si="12"/>
        <v>14</v>
      </c>
      <c r="I10">
        <f t="shared" si="13"/>
        <v>39</v>
      </c>
      <c r="J10">
        <f t="shared" si="14"/>
        <v>53</v>
      </c>
      <c r="K10" s="21">
        <v>84</v>
      </c>
      <c r="L10" s="12">
        <v>93</v>
      </c>
      <c r="M10" s="17">
        <f>K10</f>
        <v>84</v>
      </c>
      <c r="N10" s="10">
        <f>L10</f>
        <v>93</v>
      </c>
    </row>
    <row r="11" spans="1:15">
      <c r="A11" s="2"/>
    </row>
    <row r="12" spans="1:15">
      <c r="A12" s="2" t="s">
        <v>8</v>
      </c>
      <c r="E12" t="s">
        <v>218</v>
      </c>
      <c r="I12" t="s">
        <v>217</v>
      </c>
    </row>
    <row r="13" spans="1:15">
      <c r="A13" s="2" t="s">
        <v>9</v>
      </c>
      <c r="B13" t="str" cm="1">
        <f t="array" ref="B13:D13">_xlfn.TEXTSPLIT(A13," ")</f>
        <v>49</v>
      </c>
      <c r="C13" t="str">
        <v>53</v>
      </c>
      <c r="D13" t="str">
        <v>8</v>
      </c>
      <c r="E13" s="9">
        <f t="shared" ref="E13:F13" si="15">VALUE(C13)</f>
        <v>53</v>
      </c>
      <c r="F13" s="9">
        <f t="shared" si="15"/>
        <v>8</v>
      </c>
      <c r="G13" s="9">
        <f t="shared" ref="G13" si="16">E13+F13-1</f>
        <v>60</v>
      </c>
      <c r="I13">
        <f>VALUE(B13)</f>
        <v>49</v>
      </c>
      <c r="J13">
        <f t="shared" ref="J13" si="17">I13+F13-1</f>
        <v>56</v>
      </c>
    </row>
    <row r="14" spans="1:15">
      <c r="A14" s="2" t="s">
        <v>10</v>
      </c>
      <c r="B14" t="str" cm="1">
        <f t="array" ref="B14:D14">_xlfn.TEXTSPLIT(A14," ")</f>
        <v>0</v>
      </c>
      <c r="C14" t="str">
        <v>11</v>
      </c>
      <c r="D14" t="str">
        <v>42</v>
      </c>
      <c r="E14" s="9">
        <f t="shared" ref="E14:E16" si="18">VALUE(C14)</f>
        <v>11</v>
      </c>
      <c r="F14" s="9">
        <f t="shared" ref="F14:F16" si="19">VALUE(D14)</f>
        <v>42</v>
      </c>
      <c r="G14" s="9">
        <f t="shared" ref="G14:G16" si="20">E14+F14-1</f>
        <v>52</v>
      </c>
      <c r="I14" s="9">
        <f t="shared" ref="I14:I16" si="21">VALUE(B14)</f>
        <v>0</v>
      </c>
      <c r="J14" s="9">
        <f t="shared" ref="J14:J16" si="22">I14+F14-1</f>
        <v>41</v>
      </c>
      <c r="M14" t="s">
        <v>236</v>
      </c>
    </row>
    <row r="15" spans="1:15">
      <c r="A15" s="2" t="s">
        <v>11</v>
      </c>
      <c r="B15" t="str" cm="1">
        <f t="array" ref="B15:D15">_xlfn.TEXTSPLIT(A15," ")</f>
        <v>42</v>
      </c>
      <c r="C15" t="str">
        <v>0</v>
      </c>
      <c r="D15" t="str">
        <v>7</v>
      </c>
      <c r="E15" s="9">
        <f t="shared" si="18"/>
        <v>0</v>
      </c>
      <c r="F15" s="9">
        <f t="shared" si="19"/>
        <v>7</v>
      </c>
      <c r="G15" s="9">
        <f t="shared" si="20"/>
        <v>6</v>
      </c>
      <c r="I15">
        <f t="shared" si="21"/>
        <v>42</v>
      </c>
      <c r="J15">
        <f t="shared" si="22"/>
        <v>48</v>
      </c>
      <c r="K15" s="12">
        <v>72</v>
      </c>
      <c r="L15" s="12">
        <v>72</v>
      </c>
      <c r="M15" s="10">
        <f>K15</f>
        <v>72</v>
      </c>
      <c r="N15" s="10">
        <f>L15</f>
        <v>72</v>
      </c>
    </row>
    <row r="16" spans="1:15">
      <c r="A16" s="2" t="s">
        <v>12</v>
      </c>
      <c r="B16" t="str" cm="1">
        <f t="array" ref="B16:D16">_xlfn.TEXTSPLIT(A16," ")</f>
        <v>57</v>
      </c>
      <c r="C16" t="str">
        <v>7</v>
      </c>
      <c r="D16" t="str">
        <v>4</v>
      </c>
      <c r="E16" s="9">
        <f t="shared" si="18"/>
        <v>7</v>
      </c>
      <c r="F16" s="9">
        <f t="shared" si="19"/>
        <v>4</v>
      </c>
      <c r="G16" s="9">
        <f t="shared" si="20"/>
        <v>10</v>
      </c>
      <c r="I16">
        <f t="shared" si="21"/>
        <v>57</v>
      </c>
      <c r="J16">
        <f t="shared" si="22"/>
        <v>60</v>
      </c>
      <c r="K16" s="21">
        <v>84</v>
      </c>
      <c r="L16" s="12">
        <v>93</v>
      </c>
      <c r="M16" s="17">
        <f>K16</f>
        <v>84</v>
      </c>
      <c r="N16" s="10">
        <f>L16</f>
        <v>93</v>
      </c>
    </row>
    <row r="17" spans="1:14">
      <c r="A17" s="2"/>
    </row>
    <row r="18" spans="1:14">
      <c r="A18" s="2" t="s">
        <v>13</v>
      </c>
      <c r="E18" t="s">
        <v>217</v>
      </c>
      <c r="I18" t="s">
        <v>216</v>
      </c>
      <c r="M18" t="s">
        <v>235</v>
      </c>
    </row>
    <row r="19" spans="1:14">
      <c r="A19" s="2" t="s">
        <v>14</v>
      </c>
      <c r="B19" t="str" cm="1">
        <f t="array" ref="B19:D19">_xlfn.TEXTSPLIT(A19," ")</f>
        <v>88</v>
      </c>
      <c r="C19" t="str">
        <v>18</v>
      </c>
      <c r="D19" t="str">
        <v>7</v>
      </c>
      <c r="E19" s="9">
        <f t="shared" ref="E19:F19" si="23">VALUE(C19)</f>
        <v>18</v>
      </c>
      <c r="F19" s="9">
        <f t="shared" si="23"/>
        <v>7</v>
      </c>
      <c r="G19" s="9">
        <f t="shared" ref="G19" si="24">E19+F19-1</f>
        <v>24</v>
      </c>
      <c r="I19" s="9">
        <f>VALUE(B19)</f>
        <v>88</v>
      </c>
      <c r="J19" s="9">
        <f t="shared" ref="J19" si="25">I19+F19-1</f>
        <v>94</v>
      </c>
    </row>
    <row r="20" spans="1:14">
      <c r="A20" s="2" t="s">
        <v>15</v>
      </c>
      <c r="B20" t="str" cm="1">
        <f t="array" ref="B20:D20">_xlfn.TEXTSPLIT(A20," ")</f>
        <v>18</v>
      </c>
      <c r="C20" t="str">
        <v>25</v>
      </c>
      <c r="D20" t="str">
        <v>70</v>
      </c>
      <c r="E20" s="9">
        <f t="shared" ref="E20" si="26">VALUE(C20)</f>
        <v>25</v>
      </c>
      <c r="F20" s="9">
        <f t="shared" ref="F20" si="27">VALUE(D20)</f>
        <v>70</v>
      </c>
      <c r="G20" s="9">
        <f t="shared" ref="G20" si="28">E20+F20-1</f>
        <v>94</v>
      </c>
      <c r="I20" s="20">
        <f>VALUE(B20)</f>
        <v>18</v>
      </c>
      <c r="J20" s="20">
        <f t="shared" ref="J20" si="29">I20+F20-1</f>
        <v>87</v>
      </c>
      <c r="K20" s="21">
        <v>77</v>
      </c>
      <c r="L20">
        <v>86</v>
      </c>
      <c r="M20" s="17">
        <f>E20+(K20-I20)</f>
        <v>84</v>
      </c>
      <c r="N20" s="8">
        <f>M20+L20-K20</f>
        <v>93</v>
      </c>
    </row>
    <row r="21" spans="1:14">
      <c r="A21" s="2"/>
      <c r="K21">
        <v>65</v>
      </c>
      <c r="L21">
        <v>65</v>
      </c>
      <c r="M21" s="8">
        <f>E20+(K21-I20)</f>
        <v>72</v>
      </c>
      <c r="N21" s="8">
        <f>M21+L21-K21</f>
        <v>72</v>
      </c>
    </row>
    <row r="22" spans="1:14">
      <c r="A22" s="2" t="s">
        <v>16</v>
      </c>
      <c r="E22" t="s">
        <v>216</v>
      </c>
      <c r="I22" t="s">
        <v>215</v>
      </c>
      <c r="M22" t="s">
        <v>234</v>
      </c>
    </row>
    <row r="23" spans="1:14">
      <c r="A23" s="2" t="s">
        <v>17</v>
      </c>
      <c r="B23" t="str" cm="1">
        <f t="array" ref="B23:D23">_xlfn.TEXTSPLIT(A23," ")</f>
        <v>45</v>
      </c>
      <c r="C23" t="str">
        <v>77</v>
      </c>
      <c r="D23" t="str">
        <v>23</v>
      </c>
      <c r="E23" s="9">
        <f t="shared" ref="E23:F23" si="30">VALUE(C23)</f>
        <v>77</v>
      </c>
      <c r="F23" s="9">
        <f t="shared" si="30"/>
        <v>23</v>
      </c>
      <c r="G23" s="9">
        <f t="shared" ref="G23" si="31">E23+F23-1</f>
        <v>99</v>
      </c>
      <c r="I23" s="6">
        <f>VALUE(B23)</f>
        <v>45</v>
      </c>
      <c r="J23" s="20">
        <f t="shared" ref="J23" si="32">I23+F23-1</f>
        <v>67</v>
      </c>
      <c r="K23" s="21">
        <v>0</v>
      </c>
      <c r="L23">
        <v>54</v>
      </c>
      <c r="M23" s="17">
        <f>E23</f>
        <v>77</v>
      </c>
      <c r="N23" s="8">
        <f>M23+L23-I23</f>
        <v>86</v>
      </c>
    </row>
    <row r="24" spans="1:14">
      <c r="A24" s="2" t="s">
        <v>18</v>
      </c>
      <c r="B24" t="str" cm="1">
        <f t="array" ref="B24:D24">_xlfn.TEXTSPLIT(A24," ")</f>
        <v>81</v>
      </c>
      <c r="C24" t="str">
        <v>45</v>
      </c>
      <c r="D24" t="str">
        <v>19</v>
      </c>
      <c r="E24" s="9">
        <f t="shared" ref="E24:E25" si="33">VALUE(C24)</f>
        <v>45</v>
      </c>
      <c r="F24" s="9">
        <f t="shared" ref="F24:F25" si="34">VALUE(D24)</f>
        <v>19</v>
      </c>
      <c r="G24" s="9">
        <f t="shared" ref="G24:G25" si="35">E24+F24-1</f>
        <v>63</v>
      </c>
      <c r="I24">
        <f t="shared" ref="I24:I25" si="36">VALUE(B24)</f>
        <v>81</v>
      </c>
      <c r="J24">
        <f t="shared" ref="J24:J25" si="37">I24+F24-1</f>
        <v>99</v>
      </c>
    </row>
    <row r="25" spans="1:14">
      <c r="A25" s="2" t="s">
        <v>19</v>
      </c>
      <c r="B25" t="str" cm="1">
        <f t="array" ref="B25:D25">_xlfn.TEXTSPLIT(A25," ")</f>
        <v>68</v>
      </c>
      <c r="C25" t="str">
        <v>64</v>
      </c>
      <c r="D25" t="str">
        <v>13</v>
      </c>
      <c r="E25" s="9">
        <f t="shared" si="33"/>
        <v>64</v>
      </c>
      <c r="F25" s="9">
        <f t="shared" si="34"/>
        <v>13</v>
      </c>
      <c r="G25" s="9">
        <f t="shared" si="35"/>
        <v>76</v>
      </c>
      <c r="I25" s="20">
        <f t="shared" si="36"/>
        <v>68</v>
      </c>
      <c r="J25" s="20">
        <f t="shared" si="37"/>
        <v>80</v>
      </c>
      <c r="K25">
        <v>69</v>
      </c>
      <c r="L25">
        <v>69</v>
      </c>
      <c r="M25" s="8">
        <f>E25+(K25-I25)</f>
        <v>65</v>
      </c>
      <c r="N25" s="8">
        <f>M25+L25-K25</f>
        <v>65</v>
      </c>
    </row>
    <row r="26" spans="1:14">
      <c r="A26" s="2"/>
    </row>
    <row r="27" spans="1:14">
      <c r="A27" s="2" t="s">
        <v>20</v>
      </c>
      <c r="E27" t="s">
        <v>215</v>
      </c>
      <c r="I27" t="s">
        <v>213</v>
      </c>
      <c r="M27" t="s">
        <v>233</v>
      </c>
    </row>
    <row r="28" spans="1:14">
      <c r="A28" s="2" t="s">
        <v>21</v>
      </c>
      <c r="B28" t="str" cm="1">
        <f t="array" ref="B28:D28">_xlfn.TEXTSPLIT(A28," ")</f>
        <v>0</v>
      </c>
      <c r="C28" t="str">
        <v>69</v>
      </c>
      <c r="D28" t="str">
        <v>1</v>
      </c>
      <c r="E28" s="9">
        <f t="shared" ref="E28:F28" si="38">VALUE(C28)</f>
        <v>69</v>
      </c>
      <c r="F28" s="9">
        <f t="shared" si="38"/>
        <v>1</v>
      </c>
      <c r="G28" s="9">
        <f t="shared" ref="G28" si="39">E28+F28-1</f>
        <v>69</v>
      </c>
      <c r="I28" s="6">
        <f t="shared" ref="I28" si="40">VALUE(B28)</f>
        <v>0</v>
      </c>
      <c r="J28" s="6">
        <f t="shared" ref="J28" si="41">I28+F28-1</f>
        <v>0</v>
      </c>
      <c r="K28" s="9">
        <v>0</v>
      </c>
      <c r="L28" s="9">
        <v>55</v>
      </c>
      <c r="M28" s="10">
        <f>E28</f>
        <v>69</v>
      </c>
      <c r="N28" s="10">
        <f>G28</f>
        <v>69</v>
      </c>
    </row>
    <row r="29" spans="1:14">
      <c r="A29" s="2" t="s">
        <v>22</v>
      </c>
      <c r="B29" t="str" cm="1">
        <f t="array" ref="B29:D29">_xlfn.TEXTSPLIT(A29," ")</f>
        <v>1</v>
      </c>
      <c r="C29" t="str">
        <v>0</v>
      </c>
      <c r="D29" t="str">
        <v>69</v>
      </c>
      <c r="E29" s="9">
        <f t="shared" ref="E29" si="42">VALUE(C29)</f>
        <v>0</v>
      </c>
      <c r="F29" s="9">
        <f t="shared" ref="F29" si="43">VALUE(D29)</f>
        <v>69</v>
      </c>
      <c r="G29" s="9">
        <f t="shared" ref="G29" si="44">E29+F29-1</f>
        <v>68</v>
      </c>
      <c r="I29" s="6">
        <f t="shared" ref="I29" si="45">VALUE(B29)</f>
        <v>1</v>
      </c>
      <c r="J29" s="20">
        <f t="shared" ref="J29" si="46">I29+F29-1</f>
        <v>69</v>
      </c>
      <c r="K29" s="21">
        <v>0</v>
      </c>
      <c r="L29" s="9">
        <v>55</v>
      </c>
      <c r="M29" s="17">
        <f>E29</f>
        <v>0</v>
      </c>
      <c r="N29" s="8">
        <f>M29+L29-I29</f>
        <v>54</v>
      </c>
    </row>
    <row r="30" spans="1:14">
      <c r="A30" s="2"/>
    </row>
    <row r="31" spans="1:14">
      <c r="A31" s="2" t="s">
        <v>23</v>
      </c>
      <c r="E31" t="s">
        <v>213</v>
      </c>
      <c r="I31" t="s">
        <v>214</v>
      </c>
    </row>
    <row r="32" spans="1:14">
      <c r="A32" s="2" t="s">
        <v>24</v>
      </c>
      <c r="B32" t="str" cm="1">
        <f t="array" ref="B32:D32">_xlfn.TEXTSPLIT(A32," ")</f>
        <v>60</v>
      </c>
      <c r="C32" t="str">
        <v>56</v>
      </c>
      <c r="D32" t="str">
        <v>37</v>
      </c>
      <c r="E32" s="9">
        <f t="shared" ref="E32:F32" si="47">VALUE(C32)</f>
        <v>56</v>
      </c>
      <c r="F32" s="9">
        <f t="shared" si="47"/>
        <v>37</v>
      </c>
      <c r="G32" s="9">
        <f t="shared" ref="G32" si="48">E32+F32-1</f>
        <v>92</v>
      </c>
      <c r="I32">
        <f>VALUE(B32)</f>
        <v>60</v>
      </c>
      <c r="J32">
        <f>I32+F32-1</f>
        <v>96</v>
      </c>
      <c r="M32" t="s">
        <v>232</v>
      </c>
    </row>
    <row r="33" spans="1:14">
      <c r="A33" s="2" t="s">
        <v>25</v>
      </c>
      <c r="B33" t="str" cm="1">
        <f t="array" ref="B33:D33">_xlfn.TEXTSPLIT(A33," ")</f>
        <v>56</v>
      </c>
      <c r="C33" t="str">
        <v>93</v>
      </c>
      <c r="D33" t="str">
        <v>4</v>
      </c>
      <c r="E33" s="9">
        <f t="shared" ref="E33" si="49">VALUE(C33)</f>
        <v>93</v>
      </c>
      <c r="F33" s="9">
        <f t="shared" ref="F33" si="50">VALUE(D33)</f>
        <v>4</v>
      </c>
      <c r="G33" s="9">
        <f t="shared" ref="G33" si="51">E33+F33-1</f>
        <v>96</v>
      </c>
      <c r="I33">
        <f>VALUE(B33)</f>
        <v>56</v>
      </c>
      <c r="J33">
        <f>I33+F33-1</f>
        <v>59</v>
      </c>
      <c r="K33" s="12">
        <v>0</v>
      </c>
      <c r="L33" s="12">
        <v>55</v>
      </c>
      <c r="M33" s="10">
        <f>K33</f>
        <v>0</v>
      </c>
      <c r="N33" s="10">
        <f>L33</f>
        <v>55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827CF-8ACC-4E0A-AD58-BB35411315EB}">
  <sheetPr codeName="Sheet1"/>
  <dimension ref="A1:A970"/>
  <sheetViews>
    <sheetView workbookViewId="0">
      <selection activeCell="E12" sqref="E12"/>
    </sheetView>
  </sheetViews>
  <sheetFormatPr defaultRowHeight="15"/>
  <cols>
    <col min="1" max="1" width="41.7109375" customWidth="1"/>
  </cols>
  <sheetData>
    <row r="1" spans="1:1">
      <c r="A1" s="3" t="s">
        <v>26</v>
      </c>
    </row>
    <row r="2" spans="1:1">
      <c r="A2" s="3"/>
    </row>
    <row r="3" spans="1:1">
      <c r="A3" s="3" t="s">
        <v>1</v>
      </c>
    </row>
    <row r="4" spans="1:1">
      <c r="A4" s="3" t="s">
        <v>27</v>
      </c>
    </row>
    <row r="5" spans="1:1">
      <c r="A5" s="3" t="s">
        <v>28</v>
      </c>
    </row>
    <row r="6" spans="1:1">
      <c r="A6" s="3" t="s">
        <v>29</v>
      </c>
    </row>
    <row r="7" spans="1:1">
      <c r="A7" s="3" t="s">
        <v>30</v>
      </c>
    </row>
    <row r="8" spans="1:1">
      <c r="A8" s="3" t="s">
        <v>31</v>
      </c>
    </row>
    <row r="9" spans="1:1">
      <c r="A9" s="3" t="s">
        <v>32</v>
      </c>
    </row>
    <row r="10" spans="1:1">
      <c r="A10" s="3" t="s">
        <v>33</v>
      </c>
    </row>
    <row r="11" spans="1:1">
      <c r="A11" s="3" t="s">
        <v>34</v>
      </c>
    </row>
    <row r="12" spans="1:1">
      <c r="A12" s="3" t="s">
        <v>35</v>
      </c>
    </row>
    <row r="13" spans="1:1">
      <c r="A13" s="3" t="s">
        <v>36</v>
      </c>
    </row>
    <row r="14" spans="1:1">
      <c r="A14" s="3" t="s">
        <v>37</v>
      </c>
    </row>
    <row r="15" spans="1:1">
      <c r="A15" s="3" t="s">
        <v>38</v>
      </c>
    </row>
    <row r="16" spans="1:1">
      <c r="A16" s="3" t="s">
        <v>39</v>
      </c>
    </row>
    <row r="17" spans="1:1">
      <c r="A17" s="3" t="s">
        <v>40</v>
      </c>
    </row>
    <row r="18" spans="1:1">
      <c r="A18" s="3" t="s">
        <v>41</v>
      </c>
    </row>
    <row r="19" spans="1:1">
      <c r="A19" s="3"/>
    </row>
    <row r="20" spans="1:1">
      <c r="A20" s="3" t="s">
        <v>4</v>
      </c>
    </row>
    <row r="21" spans="1:1">
      <c r="A21" s="3" t="s">
        <v>42</v>
      </c>
    </row>
    <row r="22" spans="1:1">
      <c r="A22" s="3" t="s">
        <v>43</v>
      </c>
    </row>
    <row r="23" spans="1:1">
      <c r="A23" s="3" t="s">
        <v>44</v>
      </c>
    </row>
    <row r="24" spans="1:1">
      <c r="A24" s="3" t="s">
        <v>45</v>
      </c>
    </row>
    <row r="25" spans="1:1">
      <c r="A25" s="3" t="s">
        <v>46</v>
      </c>
    </row>
    <row r="26" spans="1:1">
      <c r="A26" s="3" t="s">
        <v>47</v>
      </c>
    </row>
    <row r="27" spans="1:1">
      <c r="A27" s="3" t="s">
        <v>48</v>
      </c>
    </row>
    <row r="28" spans="1:1">
      <c r="A28" s="3" t="s">
        <v>49</v>
      </c>
    </row>
    <row r="29" spans="1:1">
      <c r="A29" s="3" t="s">
        <v>50</v>
      </c>
    </row>
    <row r="30" spans="1:1">
      <c r="A30" s="3" t="s">
        <v>51</v>
      </c>
    </row>
    <row r="31" spans="1:1">
      <c r="A31" s="3" t="s">
        <v>52</v>
      </c>
    </row>
    <row r="32" spans="1:1">
      <c r="A32" s="3" t="s">
        <v>53</v>
      </c>
    </row>
    <row r="33" spans="1:1">
      <c r="A33" s="3"/>
    </row>
    <row r="34" spans="1:1">
      <c r="A34" s="3" t="s">
        <v>8</v>
      </c>
    </row>
    <row r="35" spans="1:1">
      <c r="A35" s="3" t="s">
        <v>54</v>
      </c>
    </row>
    <row r="36" spans="1:1">
      <c r="A36" s="3" t="s">
        <v>55</v>
      </c>
    </row>
    <row r="37" spans="1:1">
      <c r="A37" s="3" t="s">
        <v>56</v>
      </c>
    </row>
    <row r="38" spans="1:1">
      <c r="A38" s="3" t="s">
        <v>57</v>
      </c>
    </row>
    <row r="39" spans="1:1">
      <c r="A39" s="3" t="s">
        <v>58</v>
      </c>
    </row>
    <row r="40" spans="1:1">
      <c r="A40" s="3" t="s">
        <v>59</v>
      </c>
    </row>
    <row r="41" spans="1:1">
      <c r="A41" s="3" t="s">
        <v>60</v>
      </c>
    </row>
    <row r="42" spans="1:1">
      <c r="A42" s="3" t="s">
        <v>61</v>
      </c>
    </row>
    <row r="43" spans="1:1">
      <c r="A43" s="3" t="s">
        <v>62</v>
      </c>
    </row>
    <row r="44" spans="1:1">
      <c r="A44" s="3" t="s">
        <v>63</v>
      </c>
    </row>
    <row r="45" spans="1:1">
      <c r="A45" s="3" t="s">
        <v>64</v>
      </c>
    </row>
    <row r="46" spans="1:1">
      <c r="A46" s="3" t="s">
        <v>65</v>
      </c>
    </row>
    <row r="47" spans="1:1">
      <c r="A47" s="3" t="s">
        <v>66</v>
      </c>
    </row>
    <row r="48" spans="1:1">
      <c r="A48" s="3" t="s">
        <v>67</v>
      </c>
    </row>
    <row r="49" spans="1:1">
      <c r="A49" s="3" t="s">
        <v>68</v>
      </c>
    </row>
    <row r="50" spans="1:1">
      <c r="A50" s="3" t="s">
        <v>69</v>
      </c>
    </row>
    <row r="51" spans="1:1">
      <c r="A51" s="3" t="s">
        <v>70</v>
      </c>
    </row>
    <row r="52" spans="1:1">
      <c r="A52" s="3" t="s">
        <v>71</v>
      </c>
    </row>
    <row r="53" spans="1:1">
      <c r="A53" s="3" t="s">
        <v>72</v>
      </c>
    </row>
    <row r="54" spans="1:1">
      <c r="A54" s="3" t="s">
        <v>73</v>
      </c>
    </row>
    <row r="55" spans="1:1">
      <c r="A55" s="3" t="s">
        <v>74</v>
      </c>
    </row>
    <row r="56" spans="1:1">
      <c r="A56" s="3" t="s">
        <v>75</v>
      </c>
    </row>
    <row r="57" spans="1:1">
      <c r="A57" s="3" t="s">
        <v>76</v>
      </c>
    </row>
    <row r="58" spans="1:1">
      <c r="A58" s="3" t="s">
        <v>77</v>
      </c>
    </row>
    <row r="59" spans="1:1">
      <c r="A59" s="3" t="s">
        <v>78</v>
      </c>
    </row>
    <row r="60" spans="1:1">
      <c r="A60" s="3" t="s">
        <v>79</v>
      </c>
    </row>
    <row r="61" spans="1:1">
      <c r="A61" s="3" t="s">
        <v>80</v>
      </c>
    </row>
    <row r="62" spans="1:1">
      <c r="A62" s="3" t="s">
        <v>81</v>
      </c>
    </row>
    <row r="63" spans="1:1">
      <c r="A63" s="3" t="s">
        <v>82</v>
      </c>
    </row>
    <row r="64" spans="1:1">
      <c r="A64" s="3" t="s">
        <v>83</v>
      </c>
    </row>
    <row r="65" spans="1:1">
      <c r="A65" s="3" t="s">
        <v>84</v>
      </c>
    </row>
    <row r="66" spans="1:1">
      <c r="A66" s="3" t="s">
        <v>85</v>
      </c>
    </row>
    <row r="67" spans="1:1">
      <c r="A67" s="3" t="s">
        <v>86</v>
      </c>
    </row>
    <row r="68" spans="1:1">
      <c r="A68" s="3" t="s">
        <v>87</v>
      </c>
    </row>
    <row r="69" spans="1:1">
      <c r="A69" s="3" t="s">
        <v>88</v>
      </c>
    </row>
    <row r="70" spans="1:1">
      <c r="A70" s="3" t="s">
        <v>89</v>
      </c>
    </row>
    <row r="71" spans="1:1">
      <c r="A71" s="3" t="s">
        <v>90</v>
      </c>
    </row>
    <row r="72" spans="1:1">
      <c r="A72" s="3" t="s">
        <v>91</v>
      </c>
    </row>
    <row r="73" spans="1:1">
      <c r="A73" s="3"/>
    </row>
    <row r="74" spans="1:1">
      <c r="A74" s="3" t="s">
        <v>13</v>
      </c>
    </row>
    <row r="75" spans="1:1">
      <c r="A75" s="3" t="s">
        <v>92</v>
      </c>
    </row>
    <row r="76" spans="1:1">
      <c r="A76" s="3" t="s">
        <v>93</v>
      </c>
    </row>
    <row r="77" spans="1:1">
      <c r="A77" s="3" t="s">
        <v>94</v>
      </c>
    </row>
    <row r="78" spans="1:1">
      <c r="A78" s="3" t="s">
        <v>95</v>
      </c>
    </row>
    <row r="79" spans="1:1">
      <c r="A79" s="3" t="s">
        <v>96</v>
      </c>
    </row>
    <row r="80" spans="1:1">
      <c r="A80" s="3" t="s">
        <v>97</v>
      </c>
    </row>
    <row r="81" spans="1:1">
      <c r="A81" s="3" t="s">
        <v>98</v>
      </c>
    </row>
    <row r="82" spans="1:1">
      <c r="A82" s="3" t="s">
        <v>99</v>
      </c>
    </row>
    <row r="83" spans="1:1">
      <c r="A83" s="3" t="s">
        <v>100</v>
      </c>
    </row>
    <row r="84" spans="1:1">
      <c r="A84" s="3" t="s">
        <v>101</v>
      </c>
    </row>
    <row r="85" spans="1:1">
      <c r="A85" s="3" t="s">
        <v>102</v>
      </c>
    </row>
    <row r="86" spans="1:1">
      <c r="A86" s="3" t="s">
        <v>103</v>
      </c>
    </row>
    <row r="87" spans="1:1">
      <c r="A87" s="3" t="s">
        <v>104</v>
      </c>
    </row>
    <row r="88" spans="1:1">
      <c r="A88" s="3" t="s">
        <v>105</v>
      </c>
    </row>
    <row r="89" spans="1:1">
      <c r="A89" s="3" t="s">
        <v>106</v>
      </c>
    </row>
    <row r="90" spans="1:1">
      <c r="A90" s="3" t="s">
        <v>107</v>
      </c>
    </row>
    <row r="91" spans="1:1">
      <c r="A91" s="3" t="s">
        <v>108</v>
      </c>
    </row>
    <row r="92" spans="1:1">
      <c r="A92" s="3" t="s">
        <v>109</v>
      </c>
    </row>
    <row r="93" spans="1:1">
      <c r="A93" s="3" t="s">
        <v>110</v>
      </c>
    </row>
    <row r="94" spans="1:1">
      <c r="A94" s="3" t="s">
        <v>111</v>
      </c>
    </row>
    <row r="95" spans="1:1">
      <c r="A95" s="3" t="s">
        <v>112</v>
      </c>
    </row>
    <row r="96" spans="1:1">
      <c r="A96" s="3" t="s">
        <v>113</v>
      </c>
    </row>
    <row r="97" spans="1:1">
      <c r="A97" s="3" t="s">
        <v>114</v>
      </c>
    </row>
    <row r="98" spans="1:1">
      <c r="A98" s="3" t="s">
        <v>115</v>
      </c>
    </row>
    <row r="99" spans="1:1">
      <c r="A99" s="3"/>
    </row>
    <row r="100" spans="1:1">
      <c r="A100" s="3" t="s">
        <v>16</v>
      </c>
    </row>
    <row r="101" spans="1:1">
      <c r="A101" s="3" t="s">
        <v>116</v>
      </c>
    </row>
    <row r="102" spans="1:1">
      <c r="A102" s="3" t="s">
        <v>117</v>
      </c>
    </row>
    <row r="103" spans="1:1">
      <c r="A103" s="3" t="s">
        <v>118</v>
      </c>
    </row>
    <row r="104" spans="1:1">
      <c r="A104" s="3" t="s">
        <v>119</v>
      </c>
    </row>
    <row r="105" spans="1:1">
      <c r="A105" s="3" t="s">
        <v>120</v>
      </c>
    </row>
    <row r="106" spans="1:1">
      <c r="A106" s="3" t="s">
        <v>121</v>
      </c>
    </row>
    <row r="107" spans="1:1">
      <c r="A107" s="3" t="s">
        <v>122</v>
      </c>
    </row>
    <row r="108" spans="1:1">
      <c r="A108" s="3" t="s">
        <v>123</v>
      </c>
    </row>
    <row r="109" spans="1:1">
      <c r="A109" s="3" t="s">
        <v>124</v>
      </c>
    </row>
    <row r="110" spans="1:1">
      <c r="A110" s="3" t="s">
        <v>125</v>
      </c>
    </row>
    <row r="111" spans="1:1">
      <c r="A111" s="3" t="s">
        <v>126</v>
      </c>
    </row>
    <row r="112" spans="1:1">
      <c r="A112" s="3" t="s">
        <v>127</v>
      </c>
    </row>
    <row r="113" spans="1:1">
      <c r="A113" s="3" t="s">
        <v>128</v>
      </c>
    </row>
    <row r="114" spans="1:1">
      <c r="A114" s="3" t="s">
        <v>129</v>
      </c>
    </row>
    <row r="115" spans="1:1">
      <c r="A115" s="3" t="s">
        <v>130</v>
      </c>
    </row>
    <row r="116" spans="1:1">
      <c r="A116" s="3" t="s">
        <v>131</v>
      </c>
    </row>
    <row r="117" spans="1:1">
      <c r="A117" s="3" t="s">
        <v>132</v>
      </c>
    </row>
    <row r="118" spans="1:1">
      <c r="A118" s="3" t="s">
        <v>133</v>
      </c>
    </row>
    <row r="119" spans="1:1">
      <c r="A119" s="3" t="s">
        <v>134</v>
      </c>
    </row>
    <row r="120" spans="1:1">
      <c r="A120" s="3" t="s">
        <v>135</v>
      </c>
    </row>
    <row r="121" spans="1:1">
      <c r="A121" s="3" t="s">
        <v>136</v>
      </c>
    </row>
    <row r="122" spans="1:1">
      <c r="A122" s="3" t="s">
        <v>137</v>
      </c>
    </row>
    <row r="123" spans="1:1">
      <c r="A123" s="3" t="s">
        <v>138</v>
      </c>
    </row>
    <row r="124" spans="1:1">
      <c r="A124" s="3" t="s">
        <v>139</v>
      </c>
    </row>
    <row r="125" spans="1:1">
      <c r="A125" s="3" t="s">
        <v>140</v>
      </c>
    </row>
    <row r="126" spans="1:1">
      <c r="A126" s="3" t="s">
        <v>141</v>
      </c>
    </row>
    <row r="127" spans="1:1">
      <c r="A127" s="3" t="s">
        <v>142</v>
      </c>
    </row>
    <row r="128" spans="1:1">
      <c r="A128" s="3" t="s">
        <v>143</v>
      </c>
    </row>
    <row r="129" spans="1:1">
      <c r="A129" s="3" t="s">
        <v>144</v>
      </c>
    </row>
    <row r="130" spans="1:1">
      <c r="A130" s="3"/>
    </row>
    <row r="131" spans="1:1">
      <c r="A131" s="3" t="s">
        <v>20</v>
      </c>
    </row>
    <row r="132" spans="1:1">
      <c r="A132" s="3" t="s">
        <v>145</v>
      </c>
    </row>
    <row r="133" spans="1:1">
      <c r="A133" s="3" t="s">
        <v>146</v>
      </c>
    </row>
    <row r="134" spans="1:1">
      <c r="A134" s="3" t="s">
        <v>147</v>
      </c>
    </row>
    <row r="135" spans="1:1">
      <c r="A135" s="3" t="s">
        <v>148</v>
      </c>
    </row>
    <row r="136" spans="1:1">
      <c r="A136" s="3" t="s">
        <v>149</v>
      </c>
    </row>
    <row r="137" spans="1:1">
      <c r="A137" s="3" t="s">
        <v>150</v>
      </c>
    </row>
    <row r="138" spans="1:1">
      <c r="A138" s="3" t="s">
        <v>151</v>
      </c>
    </row>
    <row r="139" spans="1:1">
      <c r="A139" s="3" t="s">
        <v>152</v>
      </c>
    </row>
    <row r="140" spans="1:1">
      <c r="A140" s="3" t="s">
        <v>153</v>
      </c>
    </row>
    <row r="141" spans="1:1">
      <c r="A141" s="3" t="s">
        <v>154</v>
      </c>
    </row>
    <row r="142" spans="1:1">
      <c r="A142" s="3" t="s">
        <v>155</v>
      </c>
    </row>
    <row r="143" spans="1:1">
      <c r="A143" s="3" t="s">
        <v>156</v>
      </c>
    </row>
    <row r="144" spans="1:1">
      <c r="A144" s="3" t="s">
        <v>157</v>
      </c>
    </row>
    <row r="145" spans="1:1">
      <c r="A145" s="3" t="s">
        <v>158</v>
      </c>
    </row>
    <row r="146" spans="1:1">
      <c r="A146" s="3" t="s">
        <v>159</v>
      </c>
    </row>
    <row r="147" spans="1:1">
      <c r="A147" s="3" t="s">
        <v>160</v>
      </c>
    </row>
    <row r="148" spans="1:1">
      <c r="A148" s="3" t="s">
        <v>161</v>
      </c>
    </row>
    <row r="149" spans="1:1">
      <c r="A149" s="3" t="s">
        <v>162</v>
      </c>
    </row>
    <row r="150" spans="1:1">
      <c r="A150" s="3" t="s">
        <v>163</v>
      </c>
    </row>
    <row r="151" spans="1:1">
      <c r="A151" s="3" t="s">
        <v>164</v>
      </c>
    </row>
    <row r="152" spans="1:1">
      <c r="A152" s="3" t="s">
        <v>165</v>
      </c>
    </row>
    <row r="153" spans="1:1">
      <c r="A153" s="3" t="s">
        <v>166</v>
      </c>
    </row>
    <row r="154" spans="1:1">
      <c r="A154" s="3" t="s">
        <v>167</v>
      </c>
    </row>
    <row r="155" spans="1:1">
      <c r="A155" s="3" t="s">
        <v>168</v>
      </c>
    </row>
    <row r="156" spans="1:1">
      <c r="A156" s="3" t="s">
        <v>169</v>
      </c>
    </row>
    <row r="157" spans="1:1">
      <c r="A157" s="3" t="s">
        <v>170</v>
      </c>
    </row>
    <row r="158" spans="1:1">
      <c r="A158" s="3" t="s">
        <v>171</v>
      </c>
    </row>
    <row r="159" spans="1:1">
      <c r="A159" s="3" t="s">
        <v>172</v>
      </c>
    </row>
    <row r="160" spans="1:1">
      <c r="A160" s="3" t="s">
        <v>173</v>
      </c>
    </row>
    <row r="161" spans="1:1">
      <c r="A161" s="3" t="s">
        <v>174</v>
      </c>
    </row>
    <row r="162" spans="1:1">
      <c r="A162" s="3" t="s">
        <v>175</v>
      </c>
    </row>
    <row r="163" spans="1:1">
      <c r="A163" s="3"/>
    </row>
    <row r="164" spans="1:1">
      <c r="A164" s="3" t="s">
        <v>23</v>
      </c>
    </row>
    <row r="165" spans="1:1">
      <c r="A165" s="3" t="s">
        <v>176</v>
      </c>
    </row>
    <row r="166" spans="1:1">
      <c r="A166" s="3" t="s">
        <v>177</v>
      </c>
    </row>
    <row r="167" spans="1:1">
      <c r="A167" s="3" t="s">
        <v>178</v>
      </c>
    </row>
    <row r="168" spans="1:1">
      <c r="A168" s="3" t="s">
        <v>179</v>
      </c>
    </row>
    <row r="169" spans="1:1">
      <c r="A169" s="3" t="s">
        <v>180</v>
      </c>
    </row>
    <row r="170" spans="1:1">
      <c r="A170" s="3" t="s">
        <v>181</v>
      </c>
    </row>
    <row r="171" spans="1:1">
      <c r="A171" s="3" t="s">
        <v>182</v>
      </c>
    </row>
    <row r="172" spans="1:1">
      <c r="A172" s="3" t="s">
        <v>183</v>
      </c>
    </row>
    <row r="173" spans="1:1">
      <c r="A173" s="3" t="s">
        <v>184</v>
      </c>
    </row>
    <row r="174" spans="1:1">
      <c r="A174" s="3" t="s">
        <v>185</v>
      </c>
    </row>
    <row r="175" spans="1:1">
      <c r="A175" s="3" t="s">
        <v>186</v>
      </c>
    </row>
    <row r="176" spans="1:1">
      <c r="A176" s="3" t="s">
        <v>187</v>
      </c>
    </row>
    <row r="177" spans="1:1">
      <c r="A177" s="3" t="s">
        <v>188</v>
      </c>
    </row>
    <row r="178" spans="1:1">
      <c r="A178" s="3" t="s">
        <v>189</v>
      </c>
    </row>
    <row r="179" spans="1:1">
      <c r="A179" s="3" t="s">
        <v>190</v>
      </c>
    </row>
    <row r="180" spans="1:1">
      <c r="A180" s="3" t="s">
        <v>191</v>
      </c>
    </row>
    <row r="181" spans="1:1">
      <c r="A181" s="3" t="s">
        <v>192</v>
      </c>
    </row>
    <row r="182" spans="1:1">
      <c r="A182" s="3" t="s">
        <v>193</v>
      </c>
    </row>
    <row r="183" spans="1:1">
      <c r="A183" s="3" t="s">
        <v>194</v>
      </c>
    </row>
    <row r="184" spans="1:1">
      <c r="A184" s="3" t="s">
        <v>195</v>
      </c>
    </row>
    <row r="185" spans="1:1">
      <c r="A185" s="3" t="s">
        <v>196</v>
      </c>
    </row>
    <row r="186" spans="1:1">
      <c r="A186" s="3" t="s">
        <v>197</v>
      </c>
    </row>
    <row r="187" spans="1:1">
      <c r="A187" s="3" t="s">
        <v>198</v>
      </c>
    </row>
    <row r="188" spans="1:1">
      <c r="A188" s="3" t="s">
        <v>199</v>
      </c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6BEB1-2CD2-423D-AE69-B5D2E1222E89}">
  <sheetPr codeName="Sheet5"/>
  <dimension ref="A1:D970"/>
  <sheetViews>
    <sheetView workbookViewId="0"/>
  </sheetViews>
  <sheetFormatPr defaultRowHeight="15"/>
  <cols>
    <col min="1" max="1" width="38.5703125" bestFit="1" customWidth="1"/>
    <col min="2" max="7" width="12.7109375" customWidth="1"/>
    <col min="8" max="12" width="11" bestFit="1" customWidth="1"/>
    <col min="13" max="14" width="14.140625" customWidth="1"/>
    <col min="16" max="17" width="10" bestFit="1" customWidth="1"/>
  </cols>
  <sheetData>
    <row r="1" spans="1:3">
      <c r="A1" s="3" t="s">
        <v>200</v>
      </c>
      <c r="C1" s="3" t="s">
        <v>26</v>
      </c>
    </row>
    <row r="2" spans="1:3">
      <c r="A2" s="3"/>
    </row>
    <row r="3" spans="1:3">
      <c r="A3" s="3" t="s">
        <v>1</v>
      </c>
      <c r="C3" s="3" t="s">
        <v>200</v>
      </c>
    </row>
    <row r="4" spans="1:3">
      <c r="A4" s="3" t="s">
        <v>27</v>
      </c>
      <c r="C4" s="3" t="s">
        <v>201</v>
      </c>
    </row>
    <row r="5" spans="1:3">
      <c r="A5" s="3" t="s">
        <v>28</v>
      </c>
      <c r="C5" s="3" t="s">
        <v>202</v>
      </c>
    </row>
    <row r="6" spans="1:3">
      <c r="A6" s="3" t="s">
        <v>29</v>
      </c>
      <c r="C6" s="3" t="s">
        <v>203</v>
      </c>
    </row>
    <row r="7" spans="1:3">
      <c r="A7" s="3" t="s">
        <v>30</v>
      </c>
      <c r="C7" s="3" t="s">
        <v>204</v>
      </c>
    </row>
    <row r="8" spans="1:3">
      <c r="A8" s="3" t="s">
        <v>31</v>
      </c>
      <c r="C8" s="3" t="s">
        <v>205</v>
      </c>
    </row>
    <row r="9" spans="1:3">
      <c r="A9" s="3" t="s">
        <v>32</v>
      </c>
      <c r="C9" s="3" t="s">
        <v>206</v>
      </c>
    </row>
    <row r="10" spans="1:3">
      <c r="A10" s="3" t="s">
        <v>33</v>
      </c>
      <c r="C10" s="3" t="s">
        <v>207</v>
      </c>
    </row>
    <row r="11" spans="1:3">
      <c r="A11" s="3" t="s">
        <v>34</v>
      </c>
      <c r="C11" s="3" t="s">
        <v>208</v>
      </c>
    </row>
    <row r="12" spans="1:3">
      <c r="A12" s="3" t="s">
        <v>35</v>
      </c>
      <c r="C12" s="3" t="s">
        <v>209</v>
      </c>
    </row>
    <row r="13" spans="1:3">
      <c r="A13" s="3" t="s">
        <v>36</v>
      </c>
    </row>
    <row r="14" spans="1:3">
      <c r="A14" s="3" t="s">
        <v>37</v>
      </c>
    </row>
    <row r="15" spans="1:3">
      <c r="A15" s="3" t="s">
        <v>38</v>
      </c>
    </row>
    <row r="16" spans="1:3">
      <c r="A16" s="3" t="s">
        <v>39</v>
      </c>
    </row>
    <row r="17" spans="1:1">
      <c r="A17" s="3" t="s">
        <v>40</v>
      </c>
    </row>
    <row r="18" spans="1:1">
      <c r="A18" s="3" t="s">
        <v>41</v>
      </c>
    </row>
    <row r="19" spans="1:1">
      <c r="A19" s="3"/>
    </row>
    <row r="20" spans="1:1">
      <c r="A20" s="3" t="s">
        <v>4</v>
      </c>
    </row>
    <row r="21" spans="1:1">
      <c r="A21" s="3" t="s">
        <v>42</v>
      </c>
    </row>
    <row r="22" spans="1:1">
      <c r="A22" s="3" t="s">
        <v>43</v>
      </c>
    </row>
    <row r="23" spans="1:1">
      <c r="A23" s="3" t="s">
        <v>44</v>
      </c>
    </row>
    <row r="24" spans="1:1">
      <c r="A24" s="3" t="s">
        <v>45</v>
      </c>
    </row>
    <row r="25" spans="1:1">
      <c r="A25" s="3" t="s">
        <v>46</v>
      </c>
    </row>
    <row r="26" spans="1:1">
      <c r="A26" s="3" t="s">
        <v>47</v>
      </c>
    </row>
    <row r="27" spans="1:1">
      <c r="A27" s="3" t="s">
        <v>48</v>
      </c>
    </row>
    <row r="28" spans="1:1">
      <c r="A28" s="3" t="s">
        <v>49</v>
      </c>
    </row>
    <row r="29" spans="1:1">
      <c r="A29" s="3" t="s">
        <v>50</v>
      </c>
    </row>
    <row r="30" spans="1:1">
      <c r="A30" s="3" t="s">
        <v>51</v>
      </c>
    </row>
    <row r="31" spans="1:1">
      <c r="A31" s="3" t="s">
        <v>52</v>
      </c>
    </row>
    <row r="32" spans="1:1">
      <c r="A32" s="3" t="s">
        <v>53</v>
      </c>
    </row>
    <row r="33" spans="1:4">
      <c r="A33" s="3"/>
    </row>
    <row r="34" spans="1:4">
      <c r="A34" s="3" t="s">
        <v>8</v>
      </c>
    </row>
    <row r="35" spans="1:4">
      <c r="A35" s="3" t="s">
        <v>54</v>
      </c>
    </row>
    <row r="36" spans="1:4">
      <c r="A36" s="3" t="s">
        <v>55</v>
      </c>
    </row>
    <row r="37" spans="1:4">
      <c r="A37" s="3" t="s">
        <v>56</v>
      </c>
    </row>
    <row r="38" spans="1:4">
      <c r="A38" s="3" t="s">
        <v>57</v>
      </c>
    </row>
    <row r="39" spans="1:4">
      <c r="A39" s="3" t="s">
        <v>58</v>
      </c>
      <c r="C39" s="9"/>
      <c r="D39" s="9"/>
    </row>
    <row r="40" spans="1:4">
      <c r="A40" s="3" t="s">
        <v>59</v>
      </c>
    </row>
    <row r="41" spans="1:4">
      <c r="A41" s="3" t="s">
        <v>60</v>
      </c>
    </row>
    <row r="42" spans="1:4">
      <c r="A42" s="3" t="s">
        <v>61</v>
      </c>
    </row>
    <row r="43" spans="1:4">
      <c r="A43" s="3" t="s">
        <v>62</v>
      </c>
    </row>
    <row r="44" spans="1:4">
      <c r="A44" s="3" t="s">
        <v>63</v>
      </c>
    </row>
    <row r="45" spans="1:4">
      <c r="A45" s="3" t="s">
        <v>64</v>
      </c>
    </row>
    <row r="46" spans="1:4">
      <c r="A46" s="3" t="s">
        <v>65</v>
      </c>
    </row>
    <row r="47" spans="1:4">
      <c r="A47" s="3" t="s">
        <v>66</v>
      </c>
    </row>
    <row r="48" spans="1:4">
      <c r="A48" s="3" t="s">
        <v>67</v>
      </c>
    </row>
    <row r="49" spans="1:1">
      <c r="A49" s="3" t="s">
        <v>68</v>
      </c>
    </row>
    <row r="50" spans="1:1">
      <c r="A50" s="3" t="s">
        <v>69</v>
      </c>
    </row>
    <row r="51" spans="1:1">
      <c r="A51" s="3" t="s">
        <v>70</v>
      </c>
    </row>
    <row r="52" spans="1:1">
      <c r="A52" s="3" t="s">
        <v>71</v>
      </c>
    </row>
    <row r="53" spans="1:1">
      <c r="A53" s="3" t="s">
        <v>72</v>
      </c>
    </row>
    <row r="54" spans="1:1">
      <c r="A54" s="3" t="s">
        <v>73</v>
      </c>
    </row>
    <row r="55" spans="1:1">
      <c r="A55" s="3" t="s">
        <v>74</v>
      </c>
    </row>
    <row r="56" spans="1:1">
      <c r="A56" s="3" t="s">
        <v>75</v>
      </c>
    </row>
    <row r="57" spans="1:1">
      <c r="A57" s="3" t="s">
        <v>76</v>
      </c>
    </row>
    <row r="58" spans="1:1">
      <c r="A58" s="3" t="s">
        <v>77</v>
      </c>
    </row>
    <row r="59" spans="1:1">
      <c r="A59" s="3" t="s">
        <v>78</v>
      </c>
    </row>
    <row r="60" spans="1:1">
      <c r="A60" s="3" t="s">
        <v>79</v>
      </c>
    </row>
    <row r="61" spans="1:1">
      <c r="A61" s="3" t="s">
        <v>80</v>
      </c>
    </row>
    <row r="62" spans="1:1">
      <c r="A62" s="3" t="s">
        <v>81</v>
      </c>
    </row>
    <row r="63" spans="1:1">
      <c r="A63" s="3" t="s">
        <v>82</v>
      </c>
    </row>
    <row r="64" spans="1:1">
      <c r="A64" s="3" t="s">
        <v>83</v>
      </c>
    </row>
    <row r="65" spans="1:1">
      <c r="A65" s="3" t="s">
        <v>84</v>
      </c>
    </row>
    <row r="66" spans="1:1">
      <c r="A66" s="3" t="s">
        <v>85</v>
      </c>
    </row>
    <row r="67" spans="1:1">
      <c r="A67" s="3" t="s">
        <v>86</v>
      </c>
    </row>
    <row r="68" spans="1:1">
      <c r="A68" s="3" t="s">
        <v>87</v>
      </c>
    </row>
    <row r="69" spans="1:1">
      <c r="A69" s="3" t="s">
        <v>88</v>
      </c>
    </row>
    <row r="70" spans="1:1">
      <c r="A70" s="3" t="s">
        <v>89</v>
      </c>
    </row>
    <row r="71" spans="1:1">
      <c r="A71" s="3" t="s">
        <v>90</v>
      </c>
    </row>
    <row r="72" spans="1:1">
      <c r="A72" s="3" t="s">
        <v>91</v>
      </c>
    </row>
    <row r="73" spans="1:1">
      <c r="A73" s="3"/>
    </row>
    <row r="74" spans="1:1">
      <c r="A74" s="3" t="s">
        <v>13</v>
      </c>
    </row>
    <row r="75" spans="1:1">
      <c r="A75" s="3" t="s">
        <v>92</v>
      </c>
    </row>
    <row r="76" spans="1:1">
      <c r="A76" s="3" t="s">
        <v>93</v>
      </c>
    </row>
    <row r="77" spans="1:1">
      <c r="A77" s="3" t="s">
        <v>94</v>
      </c>
    </row>
    <row r="78" spans="1:1">
      <c r="A78" s="3" t="s">
        <v>95</v>
      </c>
    </row>
    <row r="79" spans="1:1">
      <c r="A79" s="3" t="s">
        <v>96</v>
      </c>
    </row>
    <row r="80" spans="1:1">
      <c r="A80" s="3" t="s">
        <v>97</v>
      </c>
    </row>
    <row r="81" spans="1:1">
      <c r="A81" s="3" t="s">
        <v>98</v>
      </c>
    </row>
    <row r="82" spans="1:1">
      <c r="A82" s="3" t="s">
        <v>99</v>
      </c>
    </row>
    <row r="83" spans="1:1">
      <c r="A83" s="3" t="s">
        <v>100</v>
      </c>
    </row>
    <row r="84" spans="1:1">
      <c r="A84" s="3" t="s">
        <v>101</v>
      </c>
    </row>
    <row r="85" spans="1:1">
      <c r="A85" s="3" t="s">
        <v>102</v>
      </c>
    </row>
    <row r="86" spans="1:1">
      <c r="A86" s="3" t="s">
        <v>103</v>
      </c>
    </row>
    <row r="87" spans="1:1">
      <c r="A87" s="3" t="s">
        <v>104</v>
      </c>
    </row>
    <row r="88" spans="1:1">
      <c r="A88" s="3" t="s">
        <v>105</v>
      </c>
    </row>
    <row r="89" spans="1:1">
      <c r="A89" s="3" t="s">
        <v>106</v>
      </c>
    </row>
    <row r="90" spans="1:1">
      <c r="A90" s="3" t="s">
        <v>107</v>
      </c>
    </row>
    <row r="91" spans="1:1">
      <c r="A91" s="3" t="s">
        <v>108</v>
      </c>
    </row>
    <row r="92" spans="1:1">
      <c r="A92" s="3" t="s">
        <v>109</v>
      </c>
    </row>
    <row r="93" spans="1:1">
      <c r="A93" s="3" t="s">
        <v>110</v>
      </c>
    </row>
    <row r="94" spans="1:1">
      <c r="A94" s="3" t="s">
        <v>111</v>
      </c>
    </row>
    <row r="95" spans="1:1">
      <c r="A95" s="3" t="s">
        <v>112</v>
      </c>
    </row>
    <row r="96" spans="1:1">
      <c r="A96" s="3" t="s">
        <v>113</v>
      </c>
    </row>
    <row r="97" spans="1:1">
      <c r="A97" s="3" t="s">
        <v>114</v>
      </c>
    </row>
    <row r="98" spans="1:1">
      <c r="A98" s="3" t="s">
        <v>115</v>
      </c>
    </row>
    <row r="99" spans="1:1">
      <c r="A99" s="3"/>
    </row>
    <row r="100" spans="1:1">
      <c r="A100" s="3" t="s">
        <v>16</v>
      </c>
    </row>
    <row r="101" spans="1:1">
      <c r="A101" s="3" t="s">
        <v>116</v>
      </c>
    </row>
    <row r="102" spans="1:1">
      <c r="A102" s="3" t="s">
        <v>117</v>
      </c>
    </row>
    <row r="103" spans="1:1">
      <c r="A103" s="3" t="s">
        <v>118</v>
      </c>
    </row>
    <row r="104" spans="1:1">
      <c r="A104" s="3" t="s">
        <v>119</v>
      </c>
    </row>
    <row r="105" spans="1:1">
      <c r="A105" s="3" t="s">
        <v>120</v>
      </c>
    </row>
    <row r="106" spans="1:1">
      <c r="A106" s="3" t="s">
        <v>121</v>
      </c>
    </row>
    <row r="107" spans="1:1">
      <c r="A107" s="3" t="s">
        <v>122</v>
      </c>
    </row>
    <row r="108" spans="1:1">
      <c r="A108" s="3" t="s">
        <v>123</v>
      </c>
    </row>
    <row r="109" spans="1:1">
      <c r="A109" s="3" t="s">
        <v>124</v>
      </c>
    </row>
    <row r="110" spans="1:1">
      <c r="A110" s="3" t="s">
        <v>125</v>
      </c>
    </row>
    <row r="111" spans="1:1">
      <c r="A111" s="3" t="s">
        <v>126</v>
      </c>
    </row>
    <row r="112" spans="1:1">
      <c r="A112" s="3" t="s">
        <v>127</v>
      </c>
    </row>
    <row r="113" spans="1:1">
      <c r="A113" s="3" t="s">
        <v>128</v>
      </c>
    </row>
    <row r="114" spans="1:1">
      <c r="A114" s="3" t="s">
        <v>129</v>
      </c>
    </row>
    <row r="115" spans="1:1">
      <c r="A115" s="3" t="s">
        <v>130</v>
      </c>
    </row>
    <row r="116" spans="1:1">
      <c r="A116" s="3" t="s">
        <v>131</v>
      </c>
    </row>
    <row r="117" spans="1:1">
      <c r="A117" s="3" t="s">
        <v>132</v>
      </c>
    </row>
    <row r="118" spans="1:1">
      <c r="A118" s="3" t="s">
        <v>133</v>
      </c>
    </row>
    <row r="119" spans="1:1">
      <c r="A119" s="3" t="s">
        <v>134</v>
      </c>
    </row>
    <row r="120" spans="1:1">
      <c r="A120" s="3" t="s">
        <v>135</v>
      </c>
    </row>
    <row r="121" spans="1:1">
      <c r="A121" s="3" t="s">
        <v>136</v>
      </c>
    </row>
    <row r="122" spans="1:1">
      <c r="A122" s="3" t="s">
        <v>137</v>
      </c>
    </row>
    <row r="123" spans="1:1">
      <c r="A123" s="3" t="s">
        <v>138</v>
      </c>
    </row>
    <row r="124" spans="1:1">
      <c r="A124" s="3" t="s">
        <v>139</v>
      </c>
    </row>
    <row r="125" spans="1:1">
      <c r="A125" s="3" t="s">
        <v>140</v>
      </c>
    </row>
    <row r="126" spans="1:1">
      <c r="A126" s="3" t="s">
        <v>141</v>
      </c>
    </row>
    <row r="127" spans="1:1">
      <c r="A127" s="3" t="s">
        <v>142</v>
      </c>
    </row>
    <row r="128" spans="1:1">
      <c r="A128" s="3" t="s">
        <v>143</v>
      </c>
    </row>
    <row r="129" spans="1:1">
      <c r="A129" s="3" t="s">
        <v>144</v>
      </c>
    </row>
    <row r="130" spans="1:1">
      <c r="A130" s="3"/>
    </row>
    <row r="131" spans="1:1">
      <c r="A131" s="3" t="s">
        <v>20</v>
      </c>
    </row>
    <row r="132" spans="1:1">
      <c r="A132" s="3" t="s">
        <v>145</v>
      </c>
    </row>
    <row r="133" spans="1:1">
      <c r="A133" s="3" t="s">
        <v>146</v>
      </c>
    </row>
    <row r="134" spans="1:1">
      <c r="A134" s="3" t="s">
        <v>147</v>
      </c>
    </row>
    <row r="135" spans="1:1">
      <c r="A135" s="3" t="s">
        <v>148</v>
      </c>
    </row>
    <row r="136" spans="1:1">
      <c r="A136" s="3" t="s">
        <v>149</v>
      </c>
    </row>
    <row r="137" spans="1:1">
      <c r="A137" s="3" t="s">
        <v>150</v>
      </c>
    </row>
    <row r="138" spans="1:1">
      <c r="A138" s="3" t="s">
        <v>151</v>
      </c>
    </row>
    <row r="139" spans="1:1">
      <c r="A139" s="3" t="s">
        <v>152</v>
      </c>
    </row>
    <row r="140" spans="1:1">
      <c r="A140" s="3" t="s">
        <v>153</v>
      </c>
    </row>
    <row r="141" spans="1:1">
      <c r="A141" s="3" t="s">
        <v>154</v>
      </c>
    </row>
    <row r="142" spans="1:1">
      <c r="A142" s="3" t="s">
        <v>155</v>
      </c>
    </row>
    <row r="143" spans="1:1">
      <c r="A143" s="3" t="s">
        <v>156</v>
      </c>
    </row>
    <row r="144" spans="1:1">
      <c r="A144" s="3" t="s">
        <v>157</v>
      </c>
    </row>
    <row r="145" spans="1:1">
      <c r="A145" s="3" t="s">
        <v>158</v>
      </c>
    </row>
    <row r="146" spans="1:1">
      <c r="A146" s="3" t="s">
        <v>159</v>
      </c>
    </row>
    <row r="147" spans="1:1">
      <c r="A147" s="3" t="s">
        <v>160</v>
      </c>
    </row>
    <row r="148" spans="1:1">
      <c r="A148" s="3" t="s">
        <v>161</v>
      </c>
    </row>
    <row r="149" spans="1:1">
      <c r="A149" s="3" t="s">
        <v>162</v>
      </c>
    </row>
    <row r="150" spans="1:1">
      <c r="A150" s="3" t="s">
        <v>163</v>
      </c>
    </row>
    <row r="151" spans="1:1">
      <c r="A151" s="3" t="s">
        <v>164</v>
      </c>
    </row>
    <row r="152" spans="1:1">
      <c r="A152" s="3" t="s">
        <v>165</v>
      </c>
    </row>
    <row r="153" spans="1:1">
      <c r="A153" s="3" t="s">
        <v>166</v>
      </c>
    </row>
    <row r="154" spans="1:1">
      <c r="A154" s="3" t="s">
        <v>167</v>
      </c>
    </row>
    <row r="155" spans="1:1">
      <c r="A155" s="3" t="s">
        <v>168</v>
      </c>
    </row>
    <row r="156" spans="1:1">
      <c r="A156" s="3" t="s">
        <v>169</v>
      </c>
    </row>
    <row r="157" spans="1:1">
      <c r="A157" s="3" t="s">
        <v>170</v>
      </c>
    </row>
    <row r="158" spans="1:1">
      <c r="A158" s="3" t="s">
        <v>171</v>
      </c>
    </row>
    <row r="159" spans="1:1">
      <c r="A159" s="3" t="s">
        <v>172</v>
      </c>
    </row>
    <row r="160" spans="1:1">
      <c r="A160" s="3" t="s">
        <v>173</v>
      </c>
    </row>
    <row r="161" spans="1:1">
      <c r="A161" s="3" t="s">
        <v>174</v>
      </c>
    </row>
    <row r="162" spans="1:1">
      <c r="A162" s="3" t="s">
        <v>175</v>
      </c>
    </row>
    <row r="163" spans="1:1">
      <c r="A163" s="3"/>
    </row>
    <row r="164" spans="1:1">
      <c r="A164" s="3" t="s">
        <v>23</v>
      </c>
    </row>
    <row r="165" spans="1:1">
      <c r="A165" s="3" t="s">
        <v>176</v>
      </c>
    </row>
    <row r="166" spans="1:1">
      <c r="A166" s="3" t="s">
        <v>177</v>
      </c>
    </row>
    <row r="167" spans="1:1">
      <c r="A167" s="3" t="s">
        <v>178</v>
      </c>
    </row>
    <row r="168" spans="1:1">
      <c r="A168" s="5" t="s">
        <v>179</v>
      </c>
    </row>
    <row r="169" spans="1:1">
      <c r="A169" s="3" t="s">
        <v>180</v>
      </c>
    </row>
    <row r="170" spans="1:1">
      <c r="A170" s="3" t="s">
        <v>181</v>
      </c>
    </row>
    <row r="171" spans="1:1">
      <c r="A171" s="3" t="s">
        <v>182</v>
      </c>
    </row>
    <row r="172" spans="1:1">
      <c r="A172" s="3" t="s">
        <v>183</v>
      </c>
    </row>
    <row r="173" spans="1:1">
      <c r="A173" s="3" t="s">
        <v>184</v>
      </c>
    </row>
    <row r="174" spans="1:1">
      <c r="A174" s="3" t="s">
        <v>185</v>
      </c>
    </row>
    <row r="175" spans="1:1">
      <c r="A175" s="3" t="s">
        <v>186</v>
      </c>
    </row>
    <row r="176" spans="1:1">
      <c r="A176" s="3" t="s">
        <v>187</v>
      </c>
    </row>
    <row r="177" spans="1:1">
      <c r="A177" s="3" t="s">
        <v>188</v>
      </c>
    </row>
    <row r="178" spans="1:1">
      <c r="A178" s="3" t="s">
        <v>189</v>
      </c>
    </row>
    <row r="179" spans="1:1">
      <c r="A179" s="3" t="s">
        <v>190</v>
      </c>
    </row>
    <row r="180" spans="1:1">
      <c r="A180" s="3" t="s">
        <v>191</v>
      </c>
    </row>
    <row r="181" spans="1:1">
      <c r="A181" s="3" t="s">
        <v>192</v>
      </c>
    </row>
    <row r="182" spans="1:1">
      <c r="A182" s="3" t="s">
        <v>193</v>
      </c>
    </row>
    <row r="183" spans="1:1">
      <c r="A183" s="3" t="s">
        <v>194</v>
      </c>
    </row>
    <row r="184" spans="1:1">
      <c r="A184" s="3" t="s">
        <v>195</v>
      </c>
    </row>
    <row r="185" spans="1:1">
      <c r="A185" s="3" t="s">
        <v>196</v>
      </c>
    </row>
    <row r="186" spans="1:1">
      <c r="A186" s="3" t="s">
        <v>197</v>
      </c>
    </row>
    <row r="187" spans="1:1">
      <c r="A187" s="3" t="s">
        <v>198</v>
      </c>
    </row>
    <row r="188" spans="1:1">
      <c r="A188" s="3" t="s">
        <v>199</v>
      </c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D5214-1716-4411-B709-3C5925E1E72E}">
  <sheetPr codeName="Sheet3"/>
  <dimension ref="A1:Q970"/>
  <sheetViews>
    <sheetView topLeftCell="A145" workbookViewId="0">
      <selection activeCell="K170" sqref="K170:N171"/>
    </sheetView>
  </sheetViews>
  <sheetFormatPr defaultRowHeight="15"/>
  <cols>
    <col min="1" max="1" width="38.5703125" bestFit="1" customWidth="1"/>
    <col min="2" max="7" width="12.7109375" customWidth="1"/>
    <col min="8" max="10" width="11" bestFit="1" customWidth="1"/>
    <col min="11" max="12" width="10.7109375" customWidth="1"/>
    <col min="13" max="14" width="11" bestFit="1" customWidth="1"/>
    <col min="16" max="16" width="13.42578125" customWidth="1"/>
    <col min="17" max="17" width="10" bestFit="1" customWidth="1"/>
  </cols>
  <sheetData>
    <row r="1" spans="1:17">
      <c r="A1" s="3" t="s">
        <v>227</v>
      </c>
      <c r="B1" s="3" t="s">
        <v>26</v>
      </c>
    </row>
    <row r="2" spans="1:17">
      <c r="A2" s="3"/>
      <c r="P2" s="3" t="s">
        <v>200</v>
      </c>
    </row>
    <row r="3" spans="1:17">
      <c r="A3" s="3" t="s">
        <v>1</v>
      </c>
      <c r="E3" t="s">
        <v>220</v>
      </c>
      <c r="I3" t="s">
        <v>219</v>
      </c>
      <c r="P3" s="3" t="s">
        <v>201</v>
      </c>
    </row>
    <row r="4" spans="1:17">
      <c r="A4" s="3" t="s">
        <v>27</v>
      </c>
      <c r="B4" t="str" cm="1">
        <f t="array" ref="B4:D4">_xlfn.TEXTSPLIT(A4," ")</f>
        <v>3272284283</v>
      </c>
      <c r="C4" t="str">
        <v>2724782980</v>
      </c>
      <c r="D4" t="str">
        <v>1022683013</v>
      </c>
      <c r="E4" s="9">
        <f t="shared" ref="E4" si="0">VALUE(C4)</f>
        <v>2724782980</v>
      </c>
      <c r="F4" s="9">
        <f t="shared" ref="F4" si="1">VALUE(D4)</f>
        <v>1022683013</v>
      </c>
      <c r="G4" s="9">
        <f t="shared" ref="G4" si="2">E4+F4-1</f>
        <v>3747465992</v>
      </c>
      <c r="I4">
        <f>VALUE(B4)</f>
        <v>3272284283</v>
      </c>
      <c r="J4">
        <f t="shared" ref="J4" si="3">I4+F4-1</f>
        <v>4294967295</v>
      </c>
      <c r="M4" t="s">
        <v>226</v>
      </c>
      <c r="P4" s="3" t="s">
        <v>202</v>
      </c>
    </row>
    <row r="5" spans="1:17">
      <c r="A5" s="3" t="s">
        <v>28</v>
      </c>
      <c r="B5" t="str" cm="1">
        <f t="array" ref="B5:D5">_xlfn.TEXTSPLIT(A5," ")</f>
        <v>138187491</v>
      </c>
      <c r="C5" t="str">
        <v>4195038636</v>
      </c>
      <c r="D5" t="str">
        <v>99928660</v>
      </c>
      <c r="E5" s="9">
        <f t="shared" ref="E5:E18" si="4">VALUE(C5)</f>
        <v>4195038636</v>
      </c>
      <c r="F5" s="9">
        <f t="shared" ref="F5:F18" si="5">VALUE(D5)</f>
        <v>99928660</v>
      </c>
      <c r="G5" s="9">
        <f t="shared" ref="G5:G18" si="6">E5+F5-1</f>
        <v>4294967295</v>
      </c>
      <c r="I5" s="9">
        <f t="shared" ref="I5:I18" si="7">VALUE(B5)</f>
        <v>138187491</v>
      </c>
      <c r="J5" s="9">
        <f t="shared" ref="J5:J18" si="8">I5+F5-1</f>
        <v>238116150</v>
      </c>
      <c r="K5" s="12">
        <v>121199540</v>
      </c>
      <c r="L5" s="12">
        <v>123127597</v>
      </c>
      <c r="M5" s="10">
        <f>K5</f>
        <v>121199540</v>
      </c>
      <c r="N5" s="10">
        <f>L5</f>
        <v>123127597</v>
      </c>
      <c r="P5" s="3" t="s">
        <v>203</v>
      </c>
    </row>
    <row r="6" spans="1:17">
      <c r="A6" s="3" t="s">
        <v>29</v>
      </c>
      <c r="B6" t="str" cm="1">
        <f t="array" ref="B6:D6">_xlfn.TEXTSPLIT(A6," ")</f>
        <v>2359623759</v>
      </c>
      <c r="C6" t="str">
        <v>797621236</v>
      </c>
      <c r="D6" t="str">
        <v>127984779</v>
      </c>
      <c r="E6" s="9">
        <f t="shared" si="4"/>
        <v>797621236</v>
      </c>
      <c r="F6" s="9">
        <f t="shared" si="5"/>
        <v>127984779</v>
      </c>
      <c r="G6" s="9">
        <f t="shared" si="6"/>
        <v>925606014</v>
      </c>
      <c r="I6">
        <f t="shared" si="7"/>
        <v>2359623759</v>
      </c>
      <c r="J6">
        <f t="shared" si="8"/>
        <v>2487608537</v>
      </c>
      <c r="P6" s="3" t="s">
        <v>204</v>
      </c>
    </row>
    <row r="7" spans="1:17">
      <c r="A7" s="3" t="s">
        <v>30</v>
      </c>
      <c r="B7" t="str" cm="1">
        <f t="array" ref="B7:D7">_xlfn.TEXTSPLIT(A7," ")</f>
        <v>662451929</v>
      </c>
      <c r="C7" t="str">
        <v>2224466386</v>
      </c>
      <c r="D7" t="str">
        <v>266466256</v>
      </c>
      <c r="E7" s="9">
        <f t="shared" si="4"/>
        <v>2224466386</v>
      </c>
      <c r="F7" s="9">
        <f t="shared" si="5"/>
        <v>266466256</v>
      </c>
      <c r="G7" s="9">
        <f t="shared" si="6"/>
        <v>2490932641</v>
      </c>
      <c r="I7">
        <f t="shared" si="7"/>
        <v>662451929</v>
      </c>
      <c r="J7">
        <f t="shared" si="8"/>
        <v>928918184</v>
      </c>
      <c r="P7" s="3" t="s">
        <v>205</v>
      </c>
    </row>
    <row r="8" spans="1:17">
      <c r="A8" s="3" t="s">
        <v>31</v>
      </c>
      <c r="B8" t="str" cm="1">
        <f t="array" ref="B8:D8">_xlfn.TEXTSPLIT(A8," ")</f>
        <v>928918185</v>
      </c>
      <c r="C8" t="str">
        <v>714355413</v>
      </c>
      <c r="D8" t="str">
        <v>83265823</v>
      </c>
      <c r="E8" s="9">
        <f t="shared" si="4"/>
        <v>714355413</v>
      </c>
      <c r="F8" s="9">
        <f t="shared" si="5"/>
        <v>83265823</v>
      </c>
      <c r="G8" s="9">
        <f t="shared" si="6"/>
        <v>797621235</v>
      </c>
      <c r="I8">
        <f t="shared" si="7"/>
        <v>928918185</v>
      </c>
      <c r="J8">
        <f t="shared" si="8"/>
        <v>1012184007</v>
      </c>
      <c r="P8" s="3" t="s">
        <v>206</v>
      </c>
    </row>
    <row r="9" spans="1:17">
      <c r="A9" s="3" t="s">
        <v>32</v>
      </c>
      <c r="B9" t="str" cm="1">
        <f t="array" ref="B9:D9">_xlfn.TEXTSPLIT(A9," ")</f>
        <v>1012184008</v>
      </c>
      <c r="C9" t="str">
        <v>3891516474</v>
      </c>
      <c r="D9" t="str">
        <v>303522162</v>
      </c>
      <c r="E9" s="9">
        <f t="shared" si="4"/>
        <v>3891516474</v>
      </c>
      <c r="F9" s="9">
        <f t="shared" si="5"/>
        <v>303522162</v>
      </c>
      <c r="G9" s="9">
        <f t="shared" si="6"/>
        <v>4195038635</v>
      </c>
      <c r="I9">
        <f t="shared" si="7"/>
        <v>1012184008</v>
      </c>
      <c r="J9">
        <f t="shared" si="8"/>
        <v>1315706169</v>
      </c>
      <c r="P9" s="3" t="s">
        <v>207</v>
      </c>
    </row>
    <row r="10" spans="1:17">
      <c r="A10" s="3" t="s">
        <v>33</v>
      </c>
      <c r="B10" t="str" cm="1">
        <f t="array" ref="B10:D10">_xlfn.TEXTSPLIT(A10," ")</f>
        <v>3063776460</v>
      </c>
      <c r="C10" t="str">
        <v>1098322140</v>
      </c>
      <c r="D10" t="str">
        <v>208507823</v>
      </c>
      <c r="E10" s="9">
        <f t="shared" si="4"/>
        <v>1098322140</v>
      </c>
      <c r="F10" s="9">
        <f t="shared" si="5"/>
        <v>208507823</v>
      </c>
      <c r="G10" s="9">
        <f t="shared" si="6"/>
        <v>1306829962</v>
      </c>
      <c r="I10">
        <f t="shared" si="7"/>
        <v>3063776460</v>
      </c>
      <c r="J10">
        <f t="shared" si="8"/>
        <v>3272284282</v>
      </c>
      <c r="P10" s="3" t="s">
        <v>208</v>
      </c>
    </row>
    <row r="11" spans="1:17">
      <c r="A11" s="3" t="s">
        <v>34</v>
      </c>
      <c r="B11" t="str" cm="1">
        <f t="array" ref="B11:D11">_xlfn.TEXTSPLIT(A11," ")</f>
        <v>2194238166</v>
      </c>
      <c r="C11" t="str">
        <v>1306829963</v>
      </c>
      <c r="D11" t="str">
        <v>50525692</v>
      </c>
      <c r="E11" s="9">
        <f t="shared" si="4"/>
        <v>1306829963</v>
      </c>
      <c r="F11" s="9">
        <f t="shared" si="5"/>
        <v>50525692</v>
      </c>
      <c r="G11" s="9">
        <f t="shared" si="6"/>
        <v>1357355654</v>
      </c>
      <c r="I11">
        <f t="shared" si="7"/>
        <v>2194238166</v>
      </c>
      <c r="J11">
        <f t="shared" si="8"/>
        <v>2244763857</v>
      </c>
      <c r="P11" s="3" t="s">
        <v>209</v>
      </c>
    </row>
    <row r="12" spans="1:17">
      <c r="A12" s="3" t="s">
        <v>35</v>
      </c>
      <c r="B12" t="str" cm="1">
        <f t="array" ref="B12:D12">_xlfn.TEXTSPLIT(A12," ")</f>
        <v>357106588</v>
      </c>
      <c r="C12" t="str">
        <v>2091837170</v>
      </c>
      <c r="D12" t="str">
        <v>132629216</v>
      </c>
      <c r="E12" s="9">
        <f t="shared" si="4"/>
        <v>2091837170</v>
      </c>
      <c r="F12" s="9">
        <f t="shared" si="5"/>
        <v>132629216</v>
      </c>
      <c r="G12" s="9">
        <f t="shared" si="6"/>
        <v>2224466385</v>
      </c>
      <c r="I12">
        <f t="shared" si="7"/>
        <v>357106588</v>
      </c>
      <c r="J12">
        <f t="shared" si="8"/>
        <v>489735803</v>
      </c>
    </row>
    <row r="13" spans="1:17">
      <c r="A13" s="3" t="s">
        <v>36</v>
      </c>
      <c r="B13" t="str" cm="1">
        <f t="array" ref="B13:D13">_xlfn.TEXTSPLIT(A13," ")</f>
        <v>2244763858</v>
      </c>
      <c r="C13" t="str">
        <v>2490932642</v>
      </c>
      <c r="D13" t="str">
        <v>114859901</v>
      </c>
      <c r="E13" s="9">
        <f t="shared" si="4"/>
        <v>2490932642</v>
      </c>
      <c r="F13" s="9">
        <f t="shared" si="5"/>
        <v>114859901</v>
      </c>
      <c r="G13" s="9">
        <f t="shared" si="6"/>
        <v>2605792542</v>
      </c>
      <c r="I13">
        <f t="shared" si="7"/>
        <v>2244763858</v>
      </c>
      <c r="J13">
        <f t="shared" si="8"/>
        <v>2359623758</v>
      </c>
      <c r="P13">
        <v>2494933545</v>
      </c>
      <c r="Q13" t="str">
        <f>IF(AND(P13&gt;M5,P13&lt;N5),"yes", "n")</f>
        <v>n</v>
      </c>
    </row>
    <row r="14" spans="1:17">
      <c r="A14" s="3" t="s">
        <v>37</v>
      </c>
      <c r="B14" t="str" cm="1">
        <f t="array" ref="B14:D14">_xlfn.TEXTSPLIT(A14," ")</f>
        <v>2050187685</v>
      </c>
      <c r="C14" t="str">
        <v>3747465993</v>
      </c>
      <c r="D14" t="str">
        <v>144050481</v>
      </c>
      <c r="E14" s="9">
        <f t="shared" si="4"/>
        <v>3747465993</v>
      </c>
      <c r="F14" s="9">
        <f t="shared" si="5"/>
        <v>144050481</v>
      </c>
      <c r="G14" s="9">
        <f t="shared" si="6"/>
        <v>3891516473</v>
      </c>
      <c r="I14">
        <f t="shared" si="7"/>
        <v>2050187685</v>
      </c>
      <c r="J14">
        <f t="shared" si="8"/>
        <v>2194238165</v>
      </c>
      <c r="P14">
        <v>159314859</v>
      </c>
      <c r="Q14" t="str">
        <f t="shared" ref="Q14:Q32" si="9">IF(AND(P14&gt;M6,P14&lt;N6),"yes", "n")</f>
        <v>n</v>
      </c>
    </row>
    <row r="15" spans="1:17">
      <c r="A15" s="3" t="s">
        <v>38</v>
      </c>
      <c r="B15" t="str" cm="1">
        <f t="array" ref="B15:D15">_xlfn.TEXTSPLIT(A15," ")</f>
        <v>489735804</v>
      </c>
      <c r="C15" t="str">
        <v>925606015</v>
      </c>
      <c r="D15" t="str">
        <v>172716125</v>
      </c>
      <c r="E15" s="9">
        <f t="shared" si="4"/>
        <v>925606015</v>
      </c>
      <c r="F15" s="9">
        <f t="shared" si="5"/>
        <v>172716125</v>
      </c>
      <c r="G15" s="9">
        <f t="shared" si="6"/>
        <v>1098322139</v>
      </c>
      <c r="I15">
        <f t="shared" si="7"/>
        <v>489735804</v>
      </c>
      <c r="J15">
        <f t="shared" si="8"/>
        <v>662451928</v>
      </c>
      <c r="P15">
        <v>4045092792</v>
      </c>
      <c r="Q15" t="str">
        <f t="shared" si="9"/>
        <v>n</v>
      </c>
    </row>
    <row r="16" spans="1:17">
      <c r="A16" s="3" t="s">
        <v>39</v>
      </c>
      <c r="B16" t="str" cm="1">
        <f t="array" ref="B16:D16">_xlfn.TEXTSPLIT(A16," ")</f>
        <v>2487608538</v>
      </c>
      <c r="C16" t="str">
        <v>138187491</v>
      </c>
      <c r="D16" t="str">
        <v>576167922</v>
      </c>
      <c r="E16" s="9">
        <f t="shared" si="4"/>
        <v>138187491</v>
      </c>
      <c r="F16" s="9">
        <f t="shared" si="5"/>
        <v>576167922</v>
      </c>
      <c r="G16" s="9">
        <f t="shared" si="6"/>
        <v>714355412</v>
      </c>
      <c r="I16">
        <f t="shared" si="7"/>
        <v>2487608538</v>
      </c>
      <c r="J16">
        <f t="shared" si="8"/>
        <v>3063776459</v>
      </c>
      <c r="P16">
        <v>172620202</v>
      </c>
      <c r="Q16" t="str">
        <f t="shared" si="9"/>
        <v>n</v>
      </c>
    </row>
    <row r="17" spans="1:17">
      <c r="A17" s="3" t="s">
        <v>40</v>
      </c>
      <c r="B17" t="str" cm="1">
        <f t="array" ref="B17:D17">_xlfn.TEXTSPLIT(A17," ")</f>
        <v>238116151</v>
      </c>
      <c r="C17" t="str">
        <v>2605792543</v>
      </c>
      <c r="D17" t="str">
        <v>118990437</v>
      </c>
      <c r="E17" s="9">
        <f t="shared" si="4"/>
        <v>2605792543</v>
      </c>
      <c r="F17" s="9">
        <f t="shared" si="5"/>
        <v>118990437</v>
      </c>
      <c r="G17" s="9">
        <f t="shared" si="6"/>
        <v>2724782979</v>
      </c>
      <c r="I17">
        <f t="shared" si="7"/>
        <v>238116151</v>
      </c>
      <c r="J17">
        <f t="shared" si="8"/>
        <v>357106587</v>
      </c>
      <c r="P17">
        <v>928898138</v>
      </c>
      <c r="Q17" t="str">
        <f t="shared" si="9"/>
        <v>n</v>
      </c>
    </row>
    <row r="18" spans="1:17">
      <c r="A18" s="3" t="s">
        <v>41</v>
      </c>
      <c r="B18" t="str" cm="1">
        <f t="array" ref="B18:D18">_xlfn.TEXTSPLIT(A18," ")</f>
        <v>1315706170</v>
      </c>
      <c r="C18" t="str">
        <v>1357355655</v>
      </c>
      <c r="D18" t="str">
        <v>734481515</v>
      </c>
      <c r="E18" s="9">
        <f t="shared" si="4"/>
        <v>1357355655</v>
      </c>
      <c r="F18" s="9">
        <f t="shared" si="5"/>
        <v>734481515</v>
      </c>
      <c r="G18" s="9">
        <f t="shared" si="6"/>
        <v>2091837169</v>
      </c>
      <c r="I18">
        <f t="shared" si="7"/>
        <v>1315706170</v>
      </c>
      <c r="J18">
        <f t="shared" si="8"/>
        <v>2050187684</v>
      </c>
      <c r="P18">
        <v>554061882</v>
      </c>
      <c r="Q18" t="str">
        <f t="shared" si="9"/>
        <v>n</v>
      </c>
    </row>
    <row r="19" spans="1:17">
      <c r="A19" s="3"/>
      <c r="C19" s="4"/>
      <c r="P19">
        <v>2740120981</v>
      </c>
      <c r="Q19" t="str">
        <f t="shared" si="9"/>
        <v>n</v>
      </c>
    </row>
    <row r="20" spans="1:17">
      <c r="A20" s="3" t="s">
        <v>4</v>
      </c>
      <c r="C20" s="4"/>
      <c r="E20" t="s">
        <v>219</v>
      </c>
      <c r="I20" t="s">
        <v>218</v>
      </c>
      <c r="P20">
        <v>81327018</v>
      </c>
      <c r="Q20" t="str">
        <f t="shared" si="9"/>
        <v>n</v>
      </c>
    </row>
    <row r="21" spans="1:17">
      <c r="A21" s="3" t="s">
        <v>42</v>
      </c>
      <c r="B21" t="str" cm="1">
        <f t="array" ref="B21:D21">_xlfn.TEXTSPLIT(A21," ")</f>
        <v>4265669768</v>
      </c>
      <c r="C21" t="str">
        <v>2142212766</v>
      </c>
      <c r="D21" t="str">
        <v>29297528</v>
      </c>
      <c r="E21" s="9">
        <f t="shared" ref="E21" si="10">VALUE(C21)</f>
        <v>2142212766</v>
      </c>
      <c r="F21" s="9">
        <f t="shared" ref="F21" si="11">VALUE(D21)</f>
        <v>29297528</v>
      </c>
      <c r="G21" s="9">
        <f t="shared" ref="G21" si="12">E21+F21-1</f>
        <v>2171510293</v>
      </c>
      <c r="I21">
        <f>VALUE(B21)</f>
        <v>4265669768</v>
      </c>
      <c r="J21">
        <f t="shared" ref="J21" si="13">I21+F21-1</f>
        <v>4294967295</v>
      </c>
      <c r="P21">
        <v>2031777983</v>
      </c>
      <c r="Q21" t="str">
        <f t="shared" si="9"/>
        <v>n</v>
      </c>
    </row>
    <row r="22" spans="1:17">
      <c r="A22" s="3" t="s">
        <v>43</v>
      </c>
      <c r="B22" t="str" cm="1">
        <f t="array" ref="B22:D22">_xlfn.TEXTSPLIT(A22," ")</f>
        <v>2030756625</v>
      </c>
      <c r="C22" t="str">
        <v>2171510294</v>
      </c>
      <c r="D22" t="str">
        <v>69737894</v>
      </c>
      <c r="E22" s="9">
        <f t="shared" ref="E22:E32" si="14">VALUE(C22)</f>
        <v>2171510294</v>
      </c>
      <c r="F22" s="9">
        <f t="shared" ref="F22:F32" si="15">VALUE(D22)</f>
        <v>69737894</v>
      </c>
      <c r="G22" s="9">
        <f t="shared" ref="G22:G32" si="16">E22+F22-1</f>
        <v>2241248187</v>
      </c>
      <c r="I22">
        <f t="shared" ref="I22:I32" si="17">VALUE(B22)</f>
        <v>2030756625</v>
      </c>
      <c r="J22">
        <f t="shared" ref="J22:J32" si="18">I22+F22-1</f>
        <v>2100494518</v>
      </c>
      <c r="P22">
        <v>63513119</v>
      </c>
      <c r="Q22" t="str">
        <f t="shared" si="9"/>
        <v>n</v>
      </c>
    </row>
    <row r="23" spans="1:17">
      <c r="A23" s="3" t="s">
        <v>44</v>
      </c>
      <c r="B23" t="str" cm="1">
        <f t="array" ref="B23:D23">_xlfn.TEXTSPLIT(A23," ")</f>
        <v>3038084234</v>
      </c>
      <c r="C23" t="str">
        <v>3411621093</v>
      </c>
      <c r="D23" t="str">
        <v>262803613</v>
      </c>
      <c r="E23" s="9">
        <f t="shared" si="14"/>
        <v>3411621093</v>
      </c>
      <c r="F23" s="9">
        <f t="shared" si="15"/>
        <v>262803613</v>
      </c>
      <c r="G23" s="9">
        <f t="shared" si="16"/>
        <v>3674424705</v>
      </c>
      <c r="I23">
        <f t="shared" si="17"/>
        <v>3038084234</v>
      </c>
      <c r="J23">
        <f t="shared" si="18"/>
        <v>3300887846</v>
      </c>
      <c r="P23">
        <v>2871914181</v>
      </c>
      <c r="Q23" t="str">
        <f t="shared" si="9"/>
        <v>n</v>
      </c>
    </row>
    <row r="24" spans="1:17">
      <c r="A24" s="3" t="s">
        <v>45</v>
      </c>
      <c r="B24" t="str" cm="1">
        <f t="array" ref="B24:D24">_xlfn.TEXTSPLIT(A24," ")</f>
        <v>2410534622</v>
      </c>
      <c r="C24" t="str">
        <v>3266307064</v>
      </c>
      <c r="D24" t="str">
        <v>145314029</v>
      </c>
      <c r="E24" s="9">
        <f t="shared" si="14"/>
        <v>3266307064</v>
      </c>
      <c r="F24" s="9">
        <f t="shared" si="15"/>
        <v>145314029</v>
      </c>
      <c r="G24" s="9">
        <f t="shared" si="16"/>
        <v>3411621092</v>
      </c>
      <c r="I24">
        <f t="shared" si="17"/>
        <v>2410534622</v>
      </c>
      <c r="J24">
        <f t="shared" si="18"/>
        <v>2555848650</v>
      </c>
      <c r="P24">
        <v>270575980</v>
      </c>
      <c r="Q24" t="str">
        <f t="shared" si="9"/>
        <v>n</v>
      </c>
    </row>
    <row r="25" spans="1:17">
      <c r="A25" s="3" t="s">
        <v>46</v>
      </c>
      <c r="B25" t="str" cm="1">
        <f t="array" ref="B25:D25">_xlfn.TEXTSPLIT(A25," ")</f>
        <v>2667304792</v>
      </c>
      <c r="C25" t="str">
        <v>2241248188</v>
      </c>
      <c r="D25" t="str">
        <v>370779442</v>
      </c>
      <c r="E25" s="9">
        <f t="shared" si="14"/>
        <v>2241248188</v>
      </c>
      <c r="F25" s="9">
        <f t="shared" si="15"/>
        <v>370779442</v>
      </c>
      <c r="G25" s="9">
        <f t="shared" si="16"/>
        <v>2612027629</v>
      </c>
      <c r="I25">
        <f t="shared" si="17"/>
        <v>2667304792</v>
      </c>
      <c r="J25">
        <f t="shared" si="18"/>
        <v>3038084233</v>
      </c>
      <c r="P25">
        <v>2200250633</v>
      </c>
      <c r="Q25" t="str">
        <f t="shared" si="9"/>
        <v>n</v>
      </c>
    </row>
    <row r="26" spans="1:17">
      <c r="A26" s="3" t="s">
        <v>47</v>
      </c>
      <c r="B26" t="str" cm="1">
        <f t="array" ref="B26:D26">_xlfn.TEXTSPLIT(A26," ")</f>
        <v>2100494519</v>
      </c>
      <c r="C26" t="str">
        <v>3921619167</v>
      </c>
      <c r="D26" t="str">
        <v>310040103</v>
      </c>
      <c r="E26" s="9">
        <f t="shared" si="14"/>
        <v>3921619167</v>
      </c>
      <c r="F26" s="9">
        <f t="shared" si="15"/>
        <v>310040103</v>
      </c>
      <c r="G26" s="9">
        <f t="shared" si="16"/>
        <v>4231659269</v>
      </c>
      <c r="I26">
        <f t="shared" si="17"/>
        <v>2100494519</v>
      </c>
      <c r="J26">
        <f t="shared" si="18"/>
        <v>2410534621</v>
      </c>
      <c r="P26">
        <v>216481794</v>
      </c>
      <c r="Q26" t="str">
        <f t="shared" si="9"/>
        <v>n</v>
      </c>
    </row>
    <row r="27" spans="1:17">
      <c r="A27" s="3" t="s">
        <v>48</v>
      </c>
      <c r="B27" t="str" cm="1">
        <f t="array" ref="B27:D27">_xlfn.TEXTSPLIT(A27," ")</f>
        <v>3611390334</v>
      </c>
      <c r="C27" t="str">
        <v>2612027630</v>
      </c>
      <c r="D27" t="str">
        <v>654279434</v>
      </c>
      <c r="E27" s="9">
        <f t="shared" si="14"/>
        <v>2612027630</v>
      </c>
      <c r="F27" s="9">
        <f t="shared" si="15"/>
        <v>654279434</v>
      </c>
      <c r="G27" s="9">
        <f t="shared" si="16"/>
        <v>3266307063</v>
      </c>
      <c r="I27">
        <f t="shared" si="17"/>
        <v>3611390334</v>
      </c>
      <c r="J27">
        <f t="shared" si="18"/>
        <v>4265669767</v>
      </c>
      <c r="P27">
        <v>3289604059</v>
      </c>
      <c r="Q27" t="str">
        <f t="shared" si="9"/>
        <v>n</v>
      </c>
    </row>
    <row r="28" spans="1:17">
      <c r="A28" s="3" t="s">
        <v>49</v>
      </c>
      <c r="B28" t="str" cm="1">
        <f t="array" ref="B28:D28">_xlfn.TEXTSPLIT(A28," ")</f>
        <v>2555848651</v>
      </c>
      <c r="C28" t="str">
        <v>2030756625</v>
      </c>
      <c r="D28" t="str">
        <v>111456141</v>
      </c>
      <c r="E28" s="9">
        <f t="shared" si="14"/>
        <v>2030756625</v>
      </c>
      <c r="F28" s="9">
        <f t="shared" si="15"/>
        <v>111456141</v>
      </c>
      <c r="G28" s="9">
        <f t="shared" si="16"/>
        <v>2142212765</v>
      </c>
      <c r="I28">
        <f t="shared" si="17"/>
        <v>2555848651</v>
      </c>
      <c r="J28">
        <f t="shared" si="18"/>
        <v>2667304791</v>
      </c>
      <c r="M28" t="s">
        <v>225</v>
      </c>
      <c r="P28">
        <v>25147787</v>
      </c>
      <c r="Q28" t="str">
        <f t="shared" si="9"/>
        <v>n</v>
      </c>
    </row>
    <row r="29" spans="1:17">
      <c r="A29" s="3" t="s">
        <v>50</v>
      </c>
      <c r="B29" t="str" cm="1">
        <f t="array" ref="B29:D29">_xlfn.TEXTSPLIT(A29," ")</f>
        <v>733063720</v>
      </c>
      <c r="C29" t="str">
        <v>869238953</v>
      </c>
      <c r="D29" t="str">
        <v>195075492</v>
      </c>
      <c r="E29" s="9">
        <f t="shared" si="14"/>
        <v>869238953</v>
      </c>
      <c r="F29" s="9">
        <f t="shared" si="15"/>
        <v>195075492</v>
      </c>
      <c r="G29" s="9">
        <f t="shared" si="16"/>
        <v>1064314444</v>
      </c>
      <c r="I29" s="9">
        <f t="shared" si="17"/>
        <v>733063720</v>
      </c>
      <c r="J29" s="9">
        <f t="shared" si="18"/>
        <v>928139211</v>
      </c>
      <c r="K29" s="12">
        <v>121199540</v>
      </c>
      <c r="L29" s="12">
        <v>123127597</v>
      </c>
      <c r="M29" s="10">
        <f>K29</f>
        <v>121199540</v>
      </c>
      <c r="N29" s="10">
        <f>L29</f>
        <v>123127597</v>
      </c>
      <c r="P29">
        <v>3472625834</v>
      </c>
      <c r="Q29" t="str">
        <f t="shared" si="9"/>
        <v>n</v>
      </c>
    </row>
    <row r="30" spans="1:17">
      <c r="A30" s="3" t="s">
        <v>51</v>
      </c>
      <c r="B30" t="str" cm="1">
        <f t="array" ref="B30:D30">_xlfn.TEXTSPLIT(A30," ")</f>
        <v>3300887847</v>
      </c>
      <c r="C30" t="str">
        <v>4231659270</v>
      </c>
      <c r="D30" t="str">
        <v>63308026</v>
      </c>
      <c r="E30" s="9">
        <f t="shared" si="14"/>
        <v>4231659270</v>
      </c>
      <c r="F30" s="9">
        <f t="shared" si="15"/>
        <v>63308026</v>
      </c>
      <c r="G30" s="9">
        <f t="shared" si="16"/>
        <v>4294967295</v>
      </c>
      <c r="I30">
        <f t="shared" si="17"/>
        <v>3300887847</v>
      </c>
      <c r="J30">
        <f t="shared" si="18"/>
        <v>3364195872</v>
      </c>
      <c r="P30">
        <v>10030240</v>
      </c>
      <c r="Q30" t="str">
        <f t="shared" si="9"/>
        <v>n</v>
      </c>
    </row>
    <row r="31" spans="1:17">
      <c r="A31" s="3" t="s">
        <v>52</v>
      </c>
      <c r="B31" t="str" cm="1">
        <f t="array" ref="B31:D31">_xlfn.TEXTSPLIT(A31," ")</f>
        <v>3364195873</v>
      </c>
      <c r="C31" t="str">
        <v>3674424706</v>
      </c>
      <c r="D31" t="str">
        <v>247194461</v>
      </c>
      <c r="E31" s="9">
        <f t="shared" si="14"/>
        <v>3674424706</v>
      </c>
      <c r="F31" s="9">
        <f t="shared" si="15"/>
        <v>247194461</v>
      </c>
      <c r="G31" s="9">
        <f t="shared" si="16"/>
        <v>3921619166</v>
      </c>
      <c r="I31">
        <f t="shared" si="17"/>
        <v>3364195873</v>
      </c>
      <c r="J31">
        <f t="shared" si="18"/>
        <v>3611390333</v>
      </c>
      <c r="P31">
        <v>260990830</v>
      </c>
      <c r="Q31" t="str">
        <f t="shared" si="9"/>
        <v>n</v>
      </c>
    </row>
    <row r="32" spans="1:17">
      <c r="A32" s="3" t="s">
        <v>53</v>
      </c>
      <c r="B32" t="str" cm="1">
        <f t="array" ref="B32:D32">_xlfn.TEXTSPLIT(A32," ")</f>
        <v>928139212</v>
      </c>
      <c r="C32" t="str">
        <v>733063720</v>
      </c>
      <c r="D32" t="str">
        <v>136175233</v>
      </c>
      <c r="E32" s="9">
        <f t="shared" si="14"/>
        <v>733063720</v>
      </c>
      <c r="F32" s="9">
        <f t="shared" si="15"/>
        <v>136175233</v>
      </c>
      <c r="G32" s="9">
        <f t="shared" si="16"/>
        <v>869238952</v>
      </c>
      <c r="I32">
        <f t="shared" si="17"/>
        <v>928139212</v>
      </c>
      <c r="J32">
        <f t="shared" si="18"/>
        <v>1064314444</v>
      </c>
      <c r="P32">
        <v>232636388</v>
      </c>
      <c r="Q32" t="str">
        <f t="shared" si="9"/>
        <v>n</v>
      </c>
    </row>
    <row r="33" spans="1:17">
      <c r="A33" s="3"/>
    </row>
    <row r="34" spans="1:17">
      <c r="A34" s="3" t="s">
        <v>8</v>
      </c>
      <c r="E34" t="s">
        <v>218</v>
      </c>
      <c r="I34" t="s">
        <v>217</v>
      </c>
    </row>
    <row r="35" spans="1:17">
      <c r="A35" s="3" t="s">
        <v>54</v>
      </c>
      <c r="B35" t="str" cm="1">
        <f t="array" ref="B35:D35">_xlfn.TEXTSPLIT(A35," ")</f>
        <v>0</v>
      </c>
      <c r="C35" t="str">
        <v>772139976</v>
      </c>
      <c r="D35" t="str">
        <v>154052576</v>
      </c>
      <c r="E35" s="9">
        <f t="shared" ref="E35" si="19">VALUE(C35)</f>
        <v>772139976</v>
      </c>
      <c r="F35" s="9">
        <f t="shared" ref="F35" si="20">VALUE(D35)</f>
        <v>154052576</v>
      </c>
      <c r="G35" s="9">
        <f t="shared" ref="G35" si="21">E35+F35-1</f>
        <v>926192551</v>
      </c>
      <c r="I35">
        <f>VALUE(B35)</f>
        <v>0</v>
      </c>
      <c r="J35">
        <f t="shared" ref="J35" si="22">I35+F35-1</f>
        <v>154052575</v>
      </c>
    </row>
    <row r="36" spans="1:17">
      <c r="A36" s="3" t="s">
        <v>55</v>
      </c>
      <c r="B36" t="str" cm="1">
        <f t="array" ref="B36:D36">_xlfn.TEXTSPLIT(A36," ")</f>
        <v>909628165</v>
      </c>
      <c r="C36" t="str">
        <v>428370542</v>
      </c>
      <c r="D36" t="str">
        <v>51644443</v>
      </c>
      <c r="E36" s="9">
        <f t="shared" ref="E36:E72" si="23">VALUE(C36)</f>
        <v>428370542</v>
      </c>
      <c r="F36" s="9">
        <f t="shared" ref="F36:F72" si="24">VALUE(D36)</f>
        <v>51644443</v>
      </c>
      <c r="G36" s="9">
        <f t="shared" ref="G36:G72" si="25">E36+F36-1</f>
        <v>480014984</v>
      </c>
      <c r="I36">
        <f t="shared" ref="I36:I72" si="26">VALUE(B36)</f>
        <v>909628165</v>
      </c>
      <c r="J36">
        <f t="shared" ref="J36:J72" si="27">I36+F36-1</f>
        <v>961272607</v>
      </c>
    </row>
    <row r="37" spans="1:17">
      <c r="A37" s="3" t="s">
        <v>56</v>
      </c>
      <c r="B37" t="str" cm="1">
        <f t="array" ref="B37:D37">_xlfn.TEXTSPLIT(A37," ")</f>
        <v>3172969725</v>
      </c>
      <c r="C37" t="str">
        <v>4109584032</v>
      </c>
      <c r="D37" t="str">
        <v>185383264</v>
      </c>
      <c r="E37" s="9">
        <f t="shared" si="23"/>
        <v>4109584032</v>
      </c>
      <c r="F37" s="9">
        <f t="shared" si="24"/>
        <v>185383264</v>
      </c>
      <c r="G37" s="9">
        <f t="shared" si="25"/>
        <v>4294967295</v>
      </c>
      <c r="I37">
        <f t="shared" si="26"/>
        <v>3172969725</v>
      </c>
      <c r="J37">
        <f t="shared" si="27"/>
        <v>3358352988</v>
      </c>
    </row>
    <row r="38" spans="1:17">
      <c r="A38" s="3" t="s">
        <v>57</v>
      </c>
      <c r="B38" t="str" cm="1">
        <f t="array" ref="B38:D38">_xlfn.TEXTSPLIT(A38," ")</f>
        <v>1116931128</v>
      </c>
      <c r="C38" t="str">
        <v>1046566515</v>
      </c>
      <c r="D38" t="str">
        <v>14194115</v>
      </c>
      <c r="E38" s="9">
        <f t="shared" si="23"/>
        <v>1046566515</v>
      </c>
      <c r="F38" s="9">
        <f t="shared" si="24"/>
        <v>14194115</v>
      </c>
      <c r="G38" s="9">
        <f t="shared" si="25"/>
        <v>1060760629</v>
      </c>
      <c r="I38">
        <f t="shared" si="26"/>
        <v>1116931128</v>
      </c>
      <c r="J38">
        <f t="shared" si="27"/>
        <v>1131125242</v>
      </c>
      <c r="M38" t="s">
        <v>224</v>
      </c>
    </row>
    <row r="39" spans="1:17">
      <c r="A39" s="3" t="s">
        <v>58</v>
      </c>
      <c r="B39" t="str" cm="1">
        <f t="array" ref="B39:D39">_xlfn.TEXTSPLIT(A39," ")</f>
        <v>223777814</v>
      </c>
      <c r="C39" t="str">
        <v>10055892</v>
      </c>
      <c r="D39" t="str">
        <v>255169216</v>
      </c>
      <c r="E39" s="9">
        <f t="shared" si="23"/>
        <v>10055892</v>
      </c>
      <c r="F39" s="9">
        <f t="shared" si="24"/>
        <v>255169216</v>
      </c>
      <c r="G39" s="9">
        <f t="shared" si="25"/>
        <v>265225107</v>
      </c>
      <c r="I39" s="20">
        <f t="shared" si="26"/>
        <v>223777814</v>
      </c>
      <c r="J39" s="20">
        <f t="shared" si="27"/>
        <v>478947029</v>
      </c>
      <c r="K39" s="12">
        <v>334921462</v>
      </c>
      <c r="L39" s="12">
        <v>336849519</v>
      </c>
      <c r="M39" s="8">
        <f>E39+(K39-I39)</f>
        <v>121199540</v>
      </c>
      <c r="N39" s="8">
        <f>M39+L39-K39</f>
        <v>123127597</v>
      </c>
      <c r="P39" s="9"/>
      <c r="Q39" s="9"/>
    </row>
    <row r="40" spans="1:17">
      <c r="A40" s="3" t="s">
        <v>59</v>
      </c>
      <c r="B40" t="str" cm="1">
        <f t="array" ref="B40:D40">_xlfn.TEXTSPLIT(A40," ")</f>
        <v>2512535520</v>
      </c>
      <c r="C40" t="str">
        <v>1229983026</v>
      </c>
      <c r="D40" t="str">
        <v>60386000</v>
      </c>
      <c r="E40" s="9">
        <f t="shared" si="23"/>
        <v>1229983026</v>
      </c>
      <c r="F40" s="9">
        <f t="shared" si="24"/>
        <v>60386000</v>
      </c>
      <c r="G40" s="9">
        <f t="shared" si="25"/>
        <v>1290369025</v>
      </c>
      <c r="I40">
        <f t="shared" si="26"/>
        <v>2512535520</v>
      </c>
      <c r="J40">
        <f t="shared" si="27"/>
        <v>2572921519</v>
      </c>
    </row>
    <row r="41" spans="1:17">
      <c r="A41" s="3" t="s">
        <v>60</v>
      </c>
      <c r="B41" t="str" cm="1">
        <f t="array" ref="B41:D41">_xlfn.TEXTSPLIT(A41," ")</f>
        <v>3109777744</v>
      </c>
      <c r="C41" t="str">
        <v>3899207072</v>
      </c>
      <c r="D41" t="str">
        <v>16374329</v>
      </c>
      <c r="E41" s="9">
        <f t="shared" si="23"/>
        <v>3899207072</v>
      </c>
      <c r="F41" s="9">
        <f t="shared" si="24"/>
        <v>16374329</v>
      </c>
      <c r="G41" s="9">
        <f t="shared" si="25"/>
        <v>3915581400</v>
      </c>
      <c r="I41">
        <f t="shared" si="26"/>
        <v>3109777744</v>
      </c>
      <c r="J41">
        <f t="shared" si="27"/>
        <v>3126152072</v>
      </c>
    </row>
    <row r="42" spans="1:17">
      <c r="A42" s="3" t="s">
        <v>61</v>
      </c>
      <c r="B42" t="str" cm="1">
        <f t="array" ref="B42:D42">_xlfn.TEXTSPLIT(A42," ")</f>
        <v>4030761870</v>
      </c>
      <c r="C42" t="str">
        <v>3829858282</v>
      </c>
      <c r="D42" t="str">
        <v>12540292</v>
      </c>
      <c r="E42" s="9">
        <f t="shared" si="23"/>
        <v>3829858282</v>
      </c>
      <c r="F42" s="9">
        <f t="shared" si="24"/>
        <v>12540292</v>
      </c>
      <c r="G42" s="9">
        <f t="shared" si="25"/>
        <v>3842398573</v>
      </c>
      <c r="I42">
        <f t="shared" si="26"/>
        <v>4030761870</v>
      </c>
      <c r="J42">
        <f t="shared" si="27"/>
        <v>4043302161</v>
      </c>
    </row>
    <row r="43" spans="1:17">
      <c r="A43" s="3" t="s">
        <v>62</v>
      </c>
      <c r="B43" t="str" cm="1">
        <f t="array" ref="B43:D43">_xlfn.TEXTSPLIT(A43," ")</f>
        <v>828135093</v>
      </c>
      <c r="C43" t="str">
        <v>718323602</v>
      </c>
      <c r="D43" t="str">
        <v>53816374</v>
      </c>
      <c r="E43" s="9">
        <f t="shared" si="23"/>
        <v>718323602</v>
      </c>
      <c r="F43" s="9">
        <f t="shared" si="24"/>
        <v>53816374</v>
      </c>
      <c r="G43" s="9">
        <f t="shared" si="25"/>
        <v>772139975</v>
      </c>
      <c r="I43">
        <f t="shared" si="26"/>
        <v>828135093</v>
      </c>
      <c r="J43">
        <f t="shared" si="27"/>
        <v>881951466</v>
      </c>
    </row>
    <row r="44" spans="1:17">
      <c r="A44" s="3" t="s">
        <v>63</v>
      </c>
      <c r="B44" t="str" cm="1">
        <f t="array" ref="B44:D44">_xlfn.TEXTSPLIT(A44," ")</f>
        <v>2358450176</v>
      </c>
      <c r="C44" t="str">
        <v>2554590817</v>
      </c>
      <c r="D44" t="str">
        <v>154085344</v>
      </c>
      <c r="E44" s="9">
        <f t="shared" si="23"/>
        <v>2554590817</v>
      </c>
      <c r="F44" s="9">
        <f t="shared" si="24"/>
        <v>154085344</v>
      </c>
      <c r="G44" s="9">
        <f t="shared" si="25"/>
        <v>2708676160</v>
      </c>
      <c r="I44">
        <f t="shared" si="26"/>
        <v>2358450176</v>
      </c>
      <c r="J44">
        <f t="shared" si="27"/>
        <v>2512535519</v>
      </c>
    </row>
    <row r="45" spans="1:17">
      <c r="A45" s="3" t="s">
        <v>64</v>
      </c>
      <c r="B45" t="str" cm="1">
        <f t="array" ref="B45:D45">_xlfn.TEXTSPLIT(A45," ")</f>
        <v>3126152073</v>
      </c>
      <c r="C45" t="str">
        <v>3152512175</v>
      </c>
      <c r="D45" t="str">
        <v>46817652</v>
      </c>
      <c r="E45" s="9">
        <f t="shared" si="23"/>
        <v>3152512175</v>
      </c>
      <c r="F45" s="9">
        <f t="shared" si="24"/>
        <v>46817652</v>
      </c>
      <c r="G45" s="9">
        <f t="shared" si="25"/>
        <v>3199329826</v>
      </c>
      <c r="I45">
        <f t="shared" si="26"/>
        <v>3126152073</v>
      </c>
      <c r="J45">
        <f t="shared" si="27"/>
        <v>3172969724</v>
      </c>
    </row>
    <row r="46" spans="1:17">
      <c r="A46" s="3" t="s">
        <v>65</v>
      </c>
      <c r="B46" t="str" cm="1">
        <f t="array" ref="B46:D46">_xlfn.TEXTSPLIT(A46," ")</f>
        <v>4043302162</v>
      </c>
      <c r="C46" t="str">
        <v>3842398574</v>
      </c>
      <c r="D46" t="str">
        <v>56808498</v>
      </c>
      <c r="E46" s="9">
        <f t="shared" si="23"/>
        <v>3842398574</v>
      </c>
      <c r="F46" s="9">
        <f t="shared" si="24"/>
        <v>56808498</v>
      </c>
      <c r="G46" s="9">
        <f t="shared" si="25"/>
        <v>3899207071</v>
      </c>
      <c r="I46">
        <f t="shared" si="26"/>
        <v>4043302162</v>
      </c>
      <c r="J46">
        <f t="shared" si="27"/>
        <v>4100110659</v>
      </c>
    </row>
    <row r="47" spans="1:17">
      <c r="A47" s="3" t="s">
        <v>66</v>
      </c>
      <c r="B47" t="str" cm="1">
        <f t="array" ref="B47:D47">_xlfn.TEXTSPLIT(A47," ")</f>
        <v>3694349069</v>
      </c>
      <c r="C47" t="str">
        <v>3493296400</v>
      </c>
      <c r="D47" t="str">
        <v>336412801</v>
      </c>
      <c r="E47" s="9">
        <f t="shared" si="23"/>
        <v>3493296400</v>
      </c>
      <c r="F47" s="9">
        <f t="shared" si="24"/>
        <v>336412801</v>
      </c>
      <c r="G47" s="9">
        <f t="shared" si="25"/>
        <v>3829709200</v>
      </c>
      <c r="I47">
        <f t="shared" si="26"/>
        <v>3694349069</v>
      </c>
      <c r="J47">
        <f t="shared" si="27"/>
        <v>4030761869</v>
      </c>
    </row>
    <row r="48" spans="1:17">
      <c r="A48" s="3" t="s">
        <v>67</v>
      </c>
      <c r="B48" t="str" cm="1">
        <f t="array" ref="B48:D48">_xlfn.TEXTSPLIT(A48," ")</f>
        <v>770911368</v>
      </c>
      <c r="C48" t="str">
        <v>661099877</v>
      </c>
      <c r="D48" t="str">
        <v>57223725</v>
      </c>
      <c r="E48" s="9">
        <f t="shared" si="23"/>
        <v>661099877</v>
      </c>
      <c r="F48" s="9">
        <f t="shared" si="24"/>
        <v>57223725</v>
      </c>
      <c r="G48" s="9">
        <f t="shared" si="25"/>
        <v>718323601</v>
      </c>
      <c r="I48">
        <f t="shared" si="26"/>
        <v>770911368</v>
      </c>
      <c r="J48">
        <f t="shared" si="27"/>
        <v>828135092</v>
      </c>
    </row>
    <row r="49" spans="1:10">
      <c r="A49" s="3" t="s">
        <v>68</v>
      </c>
      <c r="B49" t="str" cm="1">
        <f t="array" ref="B49:D49">_xlfn.TEXTSPLIT(A49," ")</f>
        <v>3574254366</v>
      </c>
      <c r="C49" t="str">
        <v>3032417472</v>
      </c>
      <c r="D49" t="str">
        <v>120094703</v>
      </c>
      <c r="E49" s="9">
        <f t="shared" si="23"/>
        <v>3032417472</v>
      </c>
      <c r="F49" s="9">
        <f t="shared" si="24"/>
        <v>120094703</v>
      </c>
      <c r="G49" s="9">
        <f t="shared" si="25"/>
        <v>3152512174</v>
      </c>
      <c r="I49">
        <f t="shared" si="26"/>
        <v>3574254366</v>
      </c>
      <c r="J49">
        <f t="shared" si="27"/>
        <v>3694349068</v>
      </c>
    </row>
    <row r="50" spans="1:10">
      <c r="A50" s="3" t="s">
        <v>69</v>
      </c>
      <c r="B50" t="str" cm="1">
        <f t="array" ref="B50:D50">_xlfn.TEXTSPLIT(A50," ")</f>
        <v>2689829955</v>
      </c>
      <c r="C50" t="str">
        <v>2124052738</v>
      </c>
      <c r="D50" t="str">
        <v>139986329</v>
      </c>
      <c r="E50" s="9">
        <f t="shared" si="23"/>
        <v>2124052738</v>
      </c>
      <c r="F50" s="9">
        <f t="shared" si="24"/>
        <v>139986329</v>
      </c>
      <c r="G50" s="9">
        <f t="shared" si="25"/>
        <v>2264039066</v>
      </c>
      <c r="I50">
        <f t="shared" si="26"/>
        <v>2689829955</v>
      </c>
      <c r="J50">
        <f t="shared" si="27"/>
        <v>2829816283</v>
      </c>
    </row>
    <row r="51" spans="1:10">
      <c r="A51" s="3" t="s">
        <v>70</v>
      </c>
      <c r="B51" t="str" cm="1">
        <f t="array" ref="B51:D51">_xlfn.TEXTSPLIT(A51," ")</f>
        <v>3358352989</v>
      </c>
      <c r="C51" t="str">
        <v>1925653441</v>
      </c>
      <c r="D51" t="str">
        <v>3542661</v>
      </c>
      <c r="E51" s="9">
        <f t="shared" si="23"/>
        <v>1925653441</v>
      </c>
      <c r="F51" s="9">
        <f t="shared" si="24"/>
        <v>3542661</v>
      </c>
      <c r="G51" s="9">
        <f t="shared" si="25"/>
        <v>1929196101</v>
      </c>
      <c r="I51">
        <f t="shared" si="26"/>
        <v>3358352989</v>
      </c>
      <c r="J51">
        <f t="shared" si="27"/>
        <v>3361895649</v>
      </c>
    </row>
    <row r="52" spans="1:10">
      <c r="A52" s="3" t="s">
        <v>71</v>
      </c>
      <c r="B52" t="str" cm="1">
        <f t="array" ref="B52:D52">_xlfn.TEXTSPLIT(A52," ")</f>
        <v>154052576</v>
      </c>
      <c r="C52" t="str">
        <v>1060760630</v>
      </c>
      <c r="D52" t="str">
        <v>69725238</v>
      </c>
      <c r="E52" s="9">
        <f t="shared" si="23"/>
        <v>1060760630</v>
      </c>
      <c r="F52" s="9">
        <f t="shared" si="24"/>
        <v>69725238</v>
      </c>
      <c r="G52" s="9">
        <f t="shared" si="25"/>
        <v>1130485867</v>
      </c>
      <c r="I52">
        <f t="shared" si="26"/>
        <v>154052576</v>
      </c>
      <c r="J52">
        <f t="shared" si="27"/>
        <v>223777813</v>
      </c>
    </row>
    <row r="53" spans="1:10">
      <c r="A53" s="3" t="s">
        <v>72</v>
      </c>
      <c r="B53" t="str" cm="1">
        <f t="array" ref="B53:D53">_xlfn.TEXTSPLIT(A53," ")</f>
        <v>3460616091</v>
      </c>
      <c r="C53" t="str">
        <v>3829709201</v>
      </c>
      <c r="D53" t="str">
        <v>149081</v>
      </c>
      <c r="E53" s="9">
        <f t="shared" si="23"/>
        <v>3829709201</v>
      </c>
      <c r="F53" s="9">
        <f t="shared" si="24"/>
        <v>149081</v>
      </c>
      <c r="G53" s="9">
        <f t="shared" si="25"/>
        <v>3829858281</v>
      </c>
      <c r="I53">
        <f t="shared" si="26"/>
        <v>3460616091</v>
      </c>
      <c r="J53">
        <f t="shared" si="27"/>
        <v>3460765171</v>
      </c>
    </row>
    <row r="54" spans="1:10">
      <c r="A54" s="3" t="s">
        <v>73</v>
      </c>
      <c r="B54" t="str" cm="1">
        <f t="array" ref="B54:D54">_xlfn.TEXTSPLIT(A54," ")</f>
        <v>881951467</v>
      </c>
      <c r="C54" t="str">
        <v>480014985</v>
      </c>
      <c r="D54" t="str">
        <v>9494517</v>
      </c>
      <c r="E54" s="9">
        <f t="shared" si="23"/>
        <v>480014985</v>
      </c>
      <c r="F54" s="9">
        <f t="shared" si="24"/>
        <v>9494517</v>
      </c>
      <c r="G54" s="9">
        <f t="shared" si="25"/>
        <v>489509501</v>
      </c>
      <c r="I54">
        <f t="shared" si="26"/>
        <v>881951467</v>
      </c>
      <c r="J54">
        <f t="shared" si="27"/>
        <v>891445983</v>
      </c>
    </row>
    <row r="55" spans="1:10">
      <c r="A55" s="3" t="s">
        <v>74</v>
      </c>
      <c r="B55" t="str" cm="1">
        <f t="array" ref="B55:D55">_xlfn.TEXTSPLIT(A55," ")</f>
        <v>1777535488</v>
      </c>
      <c r="C55" t="str">
        <v>3915581401</v>
      </c>
      <c r="D55" t="str">
        <v>135358522</v>
      </c>
      <c r="E55" s="9">
        <f t="shared" si="23"/>
        <v>3915581401</v>
      </c>
      <c r="F55" s="9">
        <f t="shared" si="24"/>
        <v>135358522</v>
      </c>
      <c r="G55" s="9">
        <f t="shared" si="25"/>
        <v>4050939922</v>
      </c>
      <c r="I55">
        <f t="shared" si="26"/>
        <v>1777535488</v>
      </c>
      <c r="J55">
        <f t="shared" si="27"/>
        <v>1912894009</v>
      </c>
    </row>
    <row r="56" spans="1:10">
      <c r="A56" s="3" t="s">
        <v>75</v>
      </c>
      <c r="B56" t="str" cm="1">
        <f t="array" ref="B56:D56">_xlfn.TEXTSPLIT(A56," ")</f>
        <v>2829816284</v>
      </c>
      <c r="C56" t="str">
        <v>1290369026</v>
      </c>
      <c r="D56" t="str">
        <v>84715328</v>
      </c>
      <c r="E56" s="9">
        <f t="shared" si="23"/>
        <v>1290369026</v>
      </c>
      <c r="F56" s="9">
        <f t="shared" si="24"/>
        <v>84715328</v>
      </c>
      <c r="G56" s="9">
        <f t="shared" si="25"/>
        <v>1375084353</v>
      </c>
      <c r="I56">
        <f t="shared" si="26"/>
        <v>2829816284</v>
      </c>
      <c r="J56">
        <f t="shared" si="27"/>
        <v>2914531611</v>
      </c>
    </row>
    <row r="57" spans="1:10">
      <c r="A57" s="3" t="s">
        <v>76</v>
      </c>
      <c r="B57" t="str" cm="1">
        <f t="array" ref="B57:D57">_xlfn.TEXTSPLIT(A57," ")</f>
        <v>478947030</v>
      </c>
      <c r="C57" t="str">
        <v>489509502</v>
      </c>
      <c r="D57" t="str">
        <v>171590375</v>
      </c>
      <c r="E57" s="9">
        <f t="shared" si="23"/>
        <v>489509502</v>
      </c>
      <c r="F57" s="9">
        <f t="shared" si="24"/>
        <v>171590375</v>
      </c>
      <c r="G57" s="9">
        <f t="shared" si="25"/>
        <v>661099876</v>
      </c>
      <c r="I57">
        <f t="shared" si="26"/>
        <v>478947030</v>
      </c>
      <c r="J57">
        <f t="shared" si="27"/>
        <v>650537404</v>
      </c>
    </row>
    <row r="58" spans="1:10">
      <c r="A58" s="3" t="s">
        <v>77</v>
      </c>
      <c r="B58" t="str" cm="1">
        <f t="array" ref="B58:D58">_xlfn.TEXTSPLIT(A58," ")</f>
        <v>2686813330</v>
      </c>
      <c r="C58" t="str">
        <v>1226966401</v>
      </c>
      <c r="D58" t="str">
        <v>3016625</v>
      </c>
      <c r="E58" s="9">
        <f t="shared" si="23"/>
        <v>1226966401</v>
      </c>
      <c r="F58" s="9">
        <f t="shared" si="24"/>
        <v>3016625</v>
      </c>
      <c r="G58" s="9">
        <f t="shared" si="25"/>
        <v>1229983025</v>
      </c>
      <c r="I58">
        <f t="shared" si="26"/>
        <v>2686813330</v>
      </c>
      <c r="J58">
        <f t="shared" si="27"/>
        <v>2689829954</v>
      </c>
    </row>
    <row r="59" spans="1:10">
      <c r="A59" s="3" t="s">
        <v>78</v>
      </c>
      <c r="B59" t="str" cm="1">
        <f t="array" ref="B59:D59">_xlfn.TEXTSPLIT(A59," ")</f>
        <v>3361895650</v>
      </c>
      <c r="C59" t="str">
        <v>3199329827</v>
      </c>
      <c r="D59" t="str">
        <v>98720441</v>
      </c>
      <c r="E59" s="9">
        <f t="shared" si="23"/>
        <v>3199329827</v>
      </c>
      <c r="F59" s="9">
        <f t="shared" si="24"/>
        <v>98720441</v>
      </c>
      <c r="G59" s="9">
        <f t="shared" si="25"/>
        <v>3298050267</v>
      </c>
      <c r="I59">
        <f t="shared" si="26"/>
        <v>3361895650</v>
      </c>
      <c r="J59">
        <f t="shared" si="27"/>
        <v>3460616090</v>
      </c>
    </row>
    <row r="60" spans="1:10">
      <c r="A60" s="3" t="s">
        <v>79</v>
      </c>
      <c r="B60" t="str" cm="1">
        <f t="array" ref="B60:D60">_xlfn.TEXTSPLIT(A60," ")</f>
        <v>1226966401</v>
      </c>
      <c r="C60" t="str">
        <v>1375084354</v>
      </c>
      <c r="D60" t="str">
        <v>550569087</v>
      </c>
      <c r="E60" s="9">
        <f t="shared" si="23"/>
        <v>1375084354</v>
      </c>
      <c r="F60" s="9">
        <f t="shared" si="24"/>
        <v>550569087</v>
      </c>
      <c r="G60" s="9">
        <f t="shared" si="25"/>
        <v>1925653440</v>
      </c>
      <c r="I60">
        <f t="shared" si="26"/>
        <v>1226966401</v>
      </c>
      <c r="J60">
        <f t="shared" si="27"/>
        <v>1777535487</v>
      </c>
    </row>
    <row r="61" spans="1:10">
      <c r="A61" s="3" t="s">
        <v>80</v>
      </c>
      <c r="B61" t="str" cm="1">
        <f t="array" ref="B61:D61">_xlfn.TEXTSPLIT(A61," ")</f>
        <v>3515610257</v>
      </c>
      <c r="C61" t="str">
        <v>4050939923</v>
      </c>
      <c r="D61" t="str">
        <v>58644109</v>
      </c>
      <c r="E61" s="9">
        <f t="shared" si="23"/>
        <v>4050939923</v>
      </c>
      <c r="F61" s="9">
        <f t="shared" si="24"/>
        <v>58644109</v>
      </c>
      <c r="G61" s="9">
        <f t="shared" si="25"/>
        <v>4109584031</v>
      </c>
      <c r="I61">
        <f t="shared" si="26"/>
        <v>3515610257</v>
      </c>
      <c r="J61">
        <f t="shared" si="27"/>
        <v>3574254365</v>
      </c>
    </row>
    <row r="62" spans="1:10">
      <c r="A62" s="3" t="s">
        <v>81</v>
      </c>
      <c r="B62" t="str" cm="1">
        <f t="array" ref="B62:D62">_xlfn.TEXTSPLIT(A62," ")</f>
        <v>650537405</v>
      </c>
      <c r="C62" t="str">
        <v>926192552</v>
      </c>
      <c r="D62" t="str">
        <v>120373963</v>
      </c>
      <c r="E62" s="9">
        <f t="shared" si="23"/>
        <v>926192552</v>
      </c>
      <c r="F62" s="9">
        <f t="shared" si="24"/>
        <v>120373963</v>
      </c>
      <c r="G62" s="9">
        <f t="shared" si="25"/>
        <v>1046566514</v>
      </c>
      <c r="I62">
        <f t="shared" si="26"/>
        <v>650537405</v>
      </c>
      <c r="J62">
        <f t="shared" si="27"/>
        <v>770911367</v>
      </c>
    </row>
    <row r="63" spans="1:10">
      <c r="A63" s="3" t="s">
        <v>82</v>
      </c>
      <c r="B63" t="str" cm="1">
        <f t="array" ref="B63:D63">_xlfn.TEXTSPLIT(A63," ")</f>
        <v>4100110660</v>
      </c>
      <c r="C63" t="str">
        <v>1929196102</v>
      </c>
      <c r="D63" t="str">
        <v>194856636</v>
      </c>
      <c r="E63" s="9">
        <f t="shared" si="23"/>
        <v>1929196102</v>
      </c>
      <c r="F63" s="9">
        <f t="shared" si="24"/>
        <v>194856636</v>
      </c>
      <c r="G63" s="9">
        <f t="shared" si="25"/>
        <v>2124052737</v>
      </c>
      <c r="I63">
        <f t="shared" si="26"/>
        <v>4100110660</v>
      </c>
      <c r="J63">
        <f t="shared" si="27"/>
        <v>4294967295</v>
      </c>
    </row>
    <row r="64" spans="1:10">
      <c r="A64" s="3" t="s">
        <v>83</v>
      </c>
      <c r="B64" t="str" cm="1">
        <f t="array" ref="B64:D64">_xlfn.TEXTSPLIT(A64," ")</f>
        <v>1912894010</v>
      </c>
      <c r="C64" t="str">
        <v>2708676161</v>
      </c>
      <c r="D64" t="str">
        <v>323741311</v>
      </c>
      <c r="E64" s="9">
        <f t="shared" si="23"/>
        <v>2708676161</v>
      </c>
      <c r="F64" s="9">
        <f t="shared" si="24"/>
        <v>323741311</v>
      </c>
      <c r="G64" s="9">
        <f t="shared" si="25"/>
        <v>3032417471</v>
      </c>
      <c r="I64">
        <f t="shared" si="26"/>
        <v>1912894010</v>
      </c>
      <c r="J64">
        <f t="shared" si="27"/>
        <v>2236635320</v>
      </c>
    </row>
    <row r="65" spans="1:10">
      <c r="A65" s="3" t="s">
        <v>84</v>
      </c>
      <c r="B65" t="str" cm="1">
        <f t="array" ref="B65:D65">_xlfn.TEXTSPLIT(A65," ")</f>
        <v>3460765172</v>
      </c>
      <c r="C65" t="str">
        <v>2264039067</v>
      </c>
      <c r="D65" t="str">
        <v>54845085</v>
      </c>
      <c r="E65" s="9">
        <f t="shared" si="23"/>
        <v>2264039067</v>
      </c>
      <c r="F65" s="9">
        <f t="shared" si="24"/>
        <v>54845085</v>
      </c>
      <c r="G65" s="9">
        <f t="shared" si="25"/>
        <v>2318884151</v>
      </c>
      <c r="I65">
        <f t="shared" si="26"/>
        <v>3460765172</v>
      </c>
      <c r="J65">
        <f t="shared" si="27"/>
        <v>3515610256</v>
      </c>
    </row>
    <row r="66" spans="1:10">
      <c r="A66" s="3" t="s">
        <v>85</v>
      </c>
      <c r="B66" t="str" cm="1">
        <f t="array" ref="B66:D66">_xlfn.TEXTSPLIT(A66," ")</f>
        <v>898932898</v>
      </c>
      <c r="C66" t="str">
        <v>0</v>
      </c>
      <c r="D66" t="str">
        <v>10055892</v>
      </c>
      <c r="E66" s="9">
        <f t="shared" si="23"/>
        <v>0</v>
      </c>
      <c r="F66" s="9">
        <f t="shared" si="24"/>
        <v>10055892</v>
      </c>
      <c r="G66" s="9">
        <f t="shared" si="25"/>
        <v>10055891</v>
      </c>
      <c r="I66">
        <f t="shared" si="26"/>
        <v>898932898</v>
      </c>
      <c r="J66">
        <f t="shared" si="27"/>
        <v>908988789</v>
      </c>
    </row>
    <row r="67" spans="1:10">
      <c r="A67" s="3" t="s">
        <v>86</v>
      </c>
      <c r="B67" t="str" cm="1">
        <f t="array" ref="B67:D67">_xlfn.TEXTSPLIT(A67," ")</f>
        <v>891445984</v>
      </c>
      <c r="C67" t="str">
        <v>265225108</v>
      </c>
      <c r="D67" t="str">
        <v>7486914</v>
      </c>
      <c r="E67" s="9">
        <f t="shared" si="23"/>
        <v>265225108</v>
      </c>
      <c r="F67" s="9">
        <f t="shared" si="24"/>
        <v>7486914</v>
      </c>
      <c r="G67" s="9">
        <f t="shared" si="25"/>
        <v>272712021</v>
      </c>
      <c r="I67">
        <f t="shared" si="26"/>
        <v>891445984</v>
      </c>
      <c r="J67">
        <f t="shared" si="27"/>
        <v>898932897</v>
      </c>
    </row>
    <row r="68" spans="1:10">
      <c r="A68" s="3" t="s">
        <v>87</v>
      </c>
      <c r="B68" t="str" cm="1">
        <f t="array" ref="B68:D68">_xlfn.TEXTSPLIT(A68," ")</f>
        <v>2914531612</v>
      </c>
      <c r="C68" t="str">
        <v>3298050268</v>
      </c>
      <c r="D68" t="str">
        <v>195246132</v>
      </c>
      <c r="E68" s="9">
        <f t="shared" si="23"/>
        <v>3298050268</v>
      </c>
      <c r="F68" s="9">
        <f t="shared" si="24"/>
        <v>195246132</v>
      </c>
      <c r="G68" s="9">
        <f t="shared" si="25"/>
        <v>3493296399</v>
      </c>
      <c r="I68">
        <f t="shared" si="26"/>
        <v>2914531612</v>
      </c>
      <c r="J68">
        <f t="shared" si="27"/>
        <v>3109777743</v>
      </c>
    </row>
    <row r="69" spans="1:10">
      <c r="A69" s="3" t="s">
        <v>88</v>
      </c>
      <c r="B69" t="str" cm="1">
        <f t="array" ref="B69:D69">_xlfn.TEXTSPLIT(A69," ")</f>
        <v>2572921520</v>
      </c>
      <c r="C69" t="str">
        <v>2318884152</v>
      </c>
      <c r="D69" t="str">
        <v>113891810</v>
      </c>
      <c r="E69" s="9">
        <f t="shared" si="23"/>
        <v>2318884152</v>
      </c>
      <c r="F69" s="9">
        <f t="shared" si="24"/>
        <v>113891810</v>
      </c>
      <c r="G69" s="9">
        <f t="shared" si="25"/>
        <v>2432775961</v>
      </c>
      <c r="I69">
        <f t="shared" si="26"/>
        <v>2572921520</v>
      </c>
      <c r="J69">
        <f t="shared" si="27"/>
        <v>2686813329</v>
      </c>
    </row>
    <row r="70" spans="1:10">
      <c r="A70" s="3" t="s">
        <v>89</v>
      </c>
      <c r="B70" t="str" cm="1">
        <f t="array" ref="B70:D70">_xlfn.TEXTSPLIT(A70," ")</f>
        <v>961272608</v>
      </c>
      <c r="C70" t="str">
        <v>272712022</v>
      </c>
      <c r="D70" t="str">
        <v>155658520</v>
      </c>
      <c r="E70" s="9">
        <f t="shared" si="23"/>
        <v>272712022</v>
      </c>
      <c r="F70" s="9">
        <f t="shared" si="24"/>
        <v>155658520</v>
      </c>
      <c r="G70" s="9">
        <f t="shared" si="25"/>
        <v>428370541</v>
      </c>
      <c r="I70">
        <f t="shared" si="26"/>
        <v>961272608</v>
      </c>
      <c r="J70">
        <f t="shared" si="27"/>
        <v>1116931127</v>
      </c>
    </row>
    <row r="71" spans="1:10">
      <c r="A71" s="3" t="s">
        <v>90</v>
      </c>
      <c r="B71" t="str" cm="1">
        <f t="array" ref="B71:D71">_xlfn.TEXTSPLIT(A71," ")</f>
        <v>908988790</v>
      </c>
      <c r="C71" t="str">
        <v>1130485868</v>
      </c>
      <c r="D71" t="str">
        <v>639375</v>
      </c>
      <c r="E71" s="9">
        <f t="shared" si="23"/>
        <v>1130485868</v>
      </c>
      <c r="F71" s="9">
        <f t="shared" si="24"/>
        <v>639375</v>
      </c>
      <c r="G71" s="9">
        <f t="shared" si="25"/>
        <v>1131125242</v>
      </c>
      <c r="I71">
        <f t="shared" si="26"/>
        <v>908988790</v>
      </c>
      <c r="J71">
        <f t="shared" si="27"/>
        <v>909628164</v>
      </c>
    </row>
    <row r="72" spans="1:10">
      <c r="A72" s="3" t="s">
        <v>91</v>
      </c>
      <c r="B72" t="str" cm="1">
        <f t="array" ref="B72:D72">_xlfn.TEXTSPLIT(A72," ")</f>
        <v>2236635321</v>
      </c>
      <c r="C72" t="str">
        <v>2432775962</v>
      </c>
      <c r="D72" t="str">
        <v>121814855</v>
      </c>
      <c r="E72" s="9">
        <f t="shared" si="23"/>
        <v>2432775962</v>
      </c>
      <c r="F72" s="9">
        <f t="shared" si="24"/>
        <v>121814855</v>
      </c>
      <c r="G72" s="9">
        <f t="shared" si="25"/>
        <v>2554590816</v>
      </c>
      <c r="I72">
        <f t="shared" si="26"/>
        <v>2236635321</v>
      </c>
      <c r="J72">
        <f t="shared" si="27"/>
        <v>2358450175</v>
      </c>
    </row>
    <row r="73" spans="1:10">
      <c r="A73" s="3"/>
    </row>
    <row r="74" spans="1:10">
      <c r="A74" s="3" t="s">
        <v>13</v>
      </c>
      <c r="E74" t="s">
        <v>217</v>
      </c>
      <c r="I74" t="s">
        <v>216</v>
      </c>
    </row>
    <row r="75" spans="1:10">
      <c r="A75" s="3" t="s">
        <v>92</v>
      </c>
      <c r="B75" t="str" cm="1">
        <f t="array" ref="B75:D75">_xlfn.TEXTSPLIT(A75," ")</f>
        <v>2821176146</v>
      </c>
      <c r="C75" t="str">
        <v>2286693663</v>
      </c>
      <c r="D75" t="str">
        <v>106119314</v>
      </c>
      <c r="E75" s="9">
        <f t="shared" ref="E75" si="28">VALUE(C75)</f>
        <v>2286693663</v>
      </c>
      <c r="F75" s="9">
        <f t="shared" ref="F75" si="29">VALUE(D75)</f>
        <v>106119314</v>
      </c>
      <c r="G75" s="9">
        <f t="shared" ref="G75" si="30">E75+F75-1</f>
        <v>2392812976</v>
      </c>
      <c r="I75">
        <f>VALUE(B75)</f>
        <v>2821176146</v>
      </c>
      <c r="J75">
        <f t="shared" ref="J75" si="31">I75+F75-1</f>
        <v>2927295459</v>
      </c>
    </row>
    <row r="76" spans="1:10">
      <c r="A76" s="3" t="s">
        <v>93</v>
      </c>
      <c r="B76" t="str" cm="1">
        <f t="array" ref="B76:D76">_xlfn.TEXTSPLIT(A76," ")</f>
        <v>3822234587</v>
      </c>
      <c r="C76" t="str">
        <v>2463633329</v>
      </c>
      <c r="D76" t="str">
        <v>180779736</v>
      </c>
      <c r="E76" s="9">
        <f t="shared" ref="E76:E98" si="32">VALUE(C76)</f>
        <v>2463633329</v>
      </c>
      <c r="F76" s="9">
        <f t="shared" ref="F76:F98" si="33">VALUE(D76)</f>
        <v>180779736</v>
      </c>
      <c r="G76" s="9">
        <f t="shared" ref="G76:G98" si="34">E76+F76-1</f>
        <v>2644413064</v>
      </c>
      <c r="I76">
        <f t="shared" ref="I76:I98" si="35">VALUE(B76)</f>
        <v>3822234587</v>
      </c>
      <c r="J76">
        <f t="shared" ref="J76:J98" si="36">I76+F76-1</f>
        <v>4003014322</v>
      </c>
    </row>
    <row r="77" spans="1:10">
      <c r="A77" s="3" t="s">
        <v>94</v>
      </c>
      <c r="B77" t="str" cm="1">
        <f t="array" ref="B77:D77">_xlfn.TEXTSPLIT(A77," ")</f>
        <v>1725724347</v>
      </c>
      <c r="C77" t="str">
        <v>2842879211</v>
      </c>
      <c r="D77" t="str">
        <v>104224606</v>
      </c>
      <c r="E77" s="9">
        <f t="shared" si="32"/>
        <v>2842879211</v>
      </c>
      <c r="F77" s="9">
        <f t="shared" si="33"/>
        <v>104224606</v>
      </c>
      <c r="G77" s="9">
        <f t="shared" si="34"/>
        <v>2947103816</v>
      </c>
      <c r="I77">
        <f t="shared" si="35"/>
        <v>1725724347</v>
      </c>
      <c r="J77">
        <f t="shared" si="36"/>
        <v>1829948952</v>
      </c>
    </row>
    <row r="78" spans="1:10">
      <c r="A78" s="3" t="s">
        <v>95</v>
      </c>
      <c r="B78" t="str" cm="1">
        <f t="array" ref="B78:D78">_xlfn.TEXTSPLIT(A78," ")</f>
        <v>3308097155</v>
      </c>
      <c r="C78" t="str">
        <v>4172728180</v>
      </c>
      <c r="D78" t="str">
        <v>122239116</v>
      </c>
      <c r="E78" s="9">
        <f t="shared" si="32"/>
        <v>4172728180</v>
      </c>
      <c r="F78" s="9">
        <f t="shared" si="33"/>
        <v>122239116</v>
      </c>
      <c r="G78" s="9">
        <f t="shared" si="34"/>
        <v>4294967295</v>
      </c>
      <c r="I78">
        <f t="shared" si="35"/>
        <v>3308097155</v>
      </c>
      <c r="J78">
        <f t="shared" si="36"/>
        <v>3430336270</v>
      </c>
    </row>
    <row r="79" spans="1:10">
      <c r="A79" s="3" t="s">
        <v>96</v>
      </c>
      <c r="B79" t="str" cm="1">
        <f t="array" ref="B79:D79">_xlfn.TEXTSPLIT(A79," ")</f>
        <v>3299768179</v>
      </c>
      <c r="C79" t="str">
        <v>2834550235</v>
      </c>
      <c r="D79" t="str">
        <v>8328976</v>
      </c>
      <c r="E79" s="9">
        <f t="shared" si="32"/>
        <v>2834550235</v>
      </c>
      <c r="F79" s="9">
        <f t="shared" si="33"/>
        <v>8328976</v>
      </c>
      <c r="G79" s="9">
        <f t="shared" si="34"/>
        <v>2842879210</v>
      </c>
      <c r="I79">
        <f t="shared" si="35"/>
        <v>3299768179</v>
      </c>
      <c r="J79">
        <f t="shared" si="36"/>
        <v>3308097154</v>
      </c>
    </row>
    <row r="80" spans="1:10">
      <c r="A80" s="3" t="s">
        <v>97</v>
      </c>
      <c r="B80" t="str" cm="1">
        <f t="array" ref="B80:D80">_xlfn.TEXTSPLIT(A80," ")</f>
        <v>525232540</v>
      </c>
      <c r="C80" t="str">
        <v>357109336</v>
      </c>
      <c r="D80" t="str">
        <v>38255672</v>
      </c>
      <c r="E80" s="9">
        <f t="shared" si="32"/>
        <v>357109336</v>
      </c>
      <c r="F80" s="9">
        <f t="shared" si="33"/>
        <v>38255672</v>
      </c>
      <c r="G80" s="9">
        <f t="shared" si="34"/>
        <v>395365007</v>
      </c>
      <c r="I80">
        <f t="shared" si="35"/>
        <v>525232540</v>
      </c>
      <c r="J80">
        <f t="shared" si="36"/>
        <v>563488211</v>
      </c>
    </row>
    <row r="81" spans="1:14">
      <c r="A81" s="3" t="s">
        <v>98</v>
      </c>
      <c r="B81" t="str" cm="1">
        <f t="array" ref="B81:D81">_xlfn.TEXTSPLIT(A81," ")</f>
        <v>751267412</v>
      </c>
      <c r="C81" t="str">
        <v>803626289</v>
      </c>
      <c r="D81" t="str">
        <v>867213460</v>
      </c>
      <c r="E81" s="9">
        <f t="shared" si="32"/>
        <v>803626289</v>
      </c>
      <c r="F81" s="9">
        <f t="shared" si="33"/>
        <v>867213460</v>
      </c>
      <c r="G81" s="9">
        <f t="shared" si="34"/>
        <v>1670839748</v>
      </c>
      <c r="I81">
        <f t="shared" si="35"/>
        <v>751267412</v>
      </c>
      <c r="J81">
        <f t="shared" si="36"/>
        <v>1618480871</v>
      </c>
    </row>
    <row r="82" spans="1:14">
      <c r="A82" s="3" t="s">
        <v>99</v>
      </c>
      <c r="B82" t="str" cm="1">
        <f t="array" ref="B82:D82">_xlfn.TEXTSPLIT(A82," ")</f>
        <v>2181067610</v>
      </c>
      <c r="C82" t="str">
        <v>2392812977</v>
      </c>
      <c r="D82" t="str">
        <v>70820352</v>
      </c>
      <c r="E82" s="9">
        <f t="shared" si="32"/>
        <v>2392812977</v>
      </c>
      <c r="F82" s="9">
        <f t="shared" si="33"/>
        <v>70820352</v>
      </c>
      <c r="G82" s="9">
        <f t="shared" si="34"/>
        <v>2463633328</v>
      </c>
      <c r="I82">
        <f t="shared" si="35"/>
        <v>2181067610</v>
      </c>
      <c r="J82">
        <f t="shared" si="36"/>
        <v>2251887961</v>
      </c>
    </row>
    <row r="83" spans="1:14">
      <c r="A83" s="3" t="s">
        <v>100</v>
      </c>
      <c r="B83" t="str" cm="1">
        <f t="array" ref="B83:D83">_xlfn.TEXTSPLIT(A83," ")</f>
        <v>2251887962</v>
      </c>
      <c r="C83" t="str">
        <v>2644413065</v>
      </c>
      <c r="D83" t="str">
        <v>134698828</v>
      </c>
      <c r="E83" s="9">
        <f t="shared" si="32"/>
        <v>2644413065</v>
      </c>
      <c r="F83" s="9">
        <f t="shared" si="33"/>
        <v>134698828</v>
      </c>
      <c r="G83" s="9">
        <f t="shared" si="34"/>
        <v>2779111892</v>
      </c>
      <c r="I83">
        <f t="shared" si="35"/>
        <v>2251887962</v>
      </c>
      <c r="J83">
        <f t="shared" si="36"/>
        <v>2386586789</v>
      </c>
    </row>
    <row r="84" spans="1:14">
      <c r="A84" s="3" t="s">
        <v>101</v>
      </c>
      <c r="B84" t="str" cm="1">
        <f t="array" ref="B84:D84">_xlfn.TEXTSPLIT(A84," ")</f>
        <v>3430336271</v>
      </c>
      <c r="C84" t="str">
        <v>3994876090</v>
      </c>
      <c r="D84" t="str">
        <v>163182805</v>
      </c>
      <c r="E84" s="9">
        <f t="shared" si="32"/>
        <v>3994876090</v>
      </c>
      <c r="F84" s="9">
        <f t="shared" si="33"/>
        <v>163182805</v>
      </c>
      <c r="G84" s="9">
        <f t="shared" si="34"/>
        <v>4158058894</v>
      </c>
      <c r="I84">
        <f t="shared" si="35"/>
        <v>3430336271</v>
      </c>
      <c r="J84">
        <f t="shared" si="36"/>
        <v>3593519075</v>
      </c>
      <c r="M84" t="s">
        <v>223</v>
      </c>
    </row>
    <row r="85" spans="1:14">
      <c r="A85" s="3" t="s">
        <v>102</v>
      </c>
      <c r="B85" t="str" cm="1">
        <f t="array" ref="B85:D85">_xlfn.TEXTSPLIT(A85," ")</f>
        <v>357109336</v>
      </c>
      <c r="C85" t="str">
        <v>395365008</v>
      </c>
      <c r="D85" t="str">
        <v>62712446</v>
      </c>
      <c r="E85" s="9">
        <f t="shared" si="32"/>
        <v>395365008</v>
      </c>
      <c r="F85" s="9">
        <f t="shared" si="33"/>
        <v>62712446</v>
      </c>
      <c r="G85" s="9">
        <f t="shared" si="34"/>
        <v>458077453</v>
      </c>
      <c r="I85" s="9">
        <f t="shared" si="35"/>
        <v>357109336</v>
      </c>
      <c r="J85" s="9">
        <f t="shared" si="36"/>
        <v>419821781</v>
      </c>
      <c r="K85" s="12">
        <v>334921462</v>
      </c>
      <c r="L85" s="12">
        <v>336849519</v>
      </c>
      <c r="M85" s="10">
        <f>K85</f>
        <v>334921462</v>
      </c>
      <c r="N85" s="10">
        <f>L85</f>
        <v>336849519</v>
      </c>
    </row>
    <row r="86" spans="1:14">
      <c r="A86" s="3" t="s">
        <v>103</v>
      </c>
      <c r="B86" t="str" cm="1">
        <f t="array" ref="B86:D86">_xlfn.TEXTSPLIT(A86," ")</f>
        <v>3646455511</v>
      </c>
      <c r="C86" t="str">
        <v>2158365540</v>
      </c>
      <c r="D86" t="str">
        <v>128328123</v>
      </c>
      <c r="E86" s="9">
        <f t="shared" si="32"/>
        <v>2158365540</v>
      </c>
      <c r="F86" s="9">
        <f t="shared" si="33"/>
        <v>128328123</v>
      </c>
      <c r="G86" s="9">
        <f t="shared" si="34"/>
        <v>2286693662</v>
      </c>
      <c r="I86">
        <f t="shared" si="35"/>
        <v>3646455511</v>
      </c>
      <c r="J86">
        <f t="shared" si="36"/>
        <v>3774783633</v>
      </c>
    </row>
    <row r="87" spans="1:14">
      <c r="A87" s="3" t="s">
        <v>104</v>
      </c>
      <c r="B87" t="str" cm="1">
        <f t="array" ref="B87:D87">_xlfn.TEXTSPLIT(A87," ")</f>
        <v>3084834769</v>
      </c>
      <c r="C87" t="str">
        <v>2947103817</v>
      </c>
      <c r="D87" t="str">
        <v>214933410</v>
      </c>
      <c r="E87" s="9">
        <f t="shared" si="32"/>
        <v>2947103817</v>
      </c>
      <c r="F87" s="9">
        <f t="shared" si="33"/>
        <v>214933410</v>
      </c>
      <c r="G87" s="9">
        <f t="shared" si="34"/>
        <v>3162037226</v>
      </c>
      <c r="I87">
        <f t="shared" si="35"/>
        <v>3084834769</v>
      </c>
      <c r="J87">
        <f t="shared" si="36"/>
        <v>3299768178</v>
      </c>
    </row>
    <row r="88" spans="1:14">
      <c r="A88" s="3" t="s">
        <v>105</v>
      </c>
      <c r="B88" t="str" cm="1">
        <f t="array" ref="B88:D88">_xlfn.TEXTSPLIT(A88," ")</f>
        <v>1618480872</v>
      </c>
      <c r="C88" t="str">
        <v>3954660777</v>
      </c>
      <c r="D88" t="str">
        <v>40215313</v>
      </c>
      <c r="E88" s="9">
        <f t="shared" si="32"/>
        <v>3954660777</v>
      </c>
      <c r="F88" s="9">
        <f t="shared" si="33"/>
        <v>40215313</v>
      </c>
      <c r="G88" s="9">
        <f t="shared" si="34"/>
        <v>3994876089</v>
      </c>
      <c r="I88">
        <f t="shared" si="35"/>
        <v>1618480872</v>
      </c>
      <c r="J88">
        <f t="shared" si="36"/>
        <v>1658696184</v>
      </c>
    </row>
    <row r="89" spans="1:14">
      <c r="A89" s="3" t="s">
        <v>106</v>
      </c>
      <c r="B89" t="str" cm="1">
        <f t="array" ref="B89:D89">_xlfn.TEXTSPLIT(A89," ")</f>
        <v>1673365470</v>
      </c>
      <c r="C89" t="str">
        <v>751267412</v>
      </c>
      <c r="D89" t="str">
        <v>52358877</v>
      </c>
      <c r="E89" s="9">
        <f t="shared" si="32"/>
        <v>751267412</v>
      </c>
      <c r="F89" s="9">
        <f t="shared" si="33"/>
        <v>52358877</v>
      </c>
      <c r="G89" s="9">
        <f t="shared" si="34"/>
        <v>803626288</v>
      </c>
      <c r="I89">
        <f t="shared" si="35"/>
        <v>1673365470</v>
      </c>
      <c r="J89">
        <f t="shared" si="36"/>
        <v>1725724346</v>
      </c>
    </row>
    <row r="90" spans="1:14">
      <c r="A90" s="3" t="s">
        <v>107</v>
      </c>
      <c r="B90" t="str" cm="1">
        <f t="array" ref="B90:D90">_xlfn.TEXTSPLIT(A90," ")</f>
        <v>2927295460</v>
      </c>
      <c r="C90" t="str">
        <v>3797121468</v>
      </c>
      <c r="D90" t="str">
        <v>157539309</v>
      </c>
      <c r="E90" s="9">
        <f t="shared" si="32"/>
        <v>3797121468</v>
      </c>
      <c r="F90" s="9">
        <f t="shared" si="33"/>
        <v>157539309</v>
      </c>
      <c r="G90" s="9">
        <f t="shared" si="34"/>
        <v>3954660776</v>
      </c>
      <c r="I90">
        <f t="shared" si="35"/>
        <v>2927295460</v>
      </c>
      <c r="J90">
        <f t="shared" si="36"/>
        <v>3084834768</v>
      </c>
    </row>
    <row r="91" spans="1:14">
      <c r="A91" s="3" t="s">
        <v>108</v>
      </c>
      <c r="B91" t="str" cm="1">
        <f t="array" ref="B91:D91">_xlfn.TEXTSPLIT(A91," ")</f>
        <v>2386586790</v>
      </c>
      <c r="C91" t="str">
        <v>1723776184</v>
      </c>
      <c r="D91" t="str">
        <v>434589356</v>
      </c>
      <c r="E91" s="9">
        <f t="shared" si="32"/>
        <v>1723776184</v>
      </c>
      <c r="F91" s="9">
        <f t="shared" si="33"/>
        <v>434589356</v>
      </c>
      <c r="G91" s="9">
        <f t="shared" si="34"/>
        <v>2158365539</v>
      </c>
      <c r="I91">
        <f t="shared" si="35"/>
        <v>2386586790</v>
      </c>
      <c r="J91">
        <f t="shared" si="36"/>
        <v>2821176145</v>
      </c>
    </row>
    <row r="92" spans="1:14">
      <c r="A92" s="3" t="s">
        <v>109</v>
      </c>
      <c r="B92" t="str" cm="1">
        <f t="array" ref="B92:D92">_xlfn.TEXTSPLIT(A92," ")</f>
        <v>3774783634</v>
      </c>
      <c r="C92" t="str">
        <v>2779111893</v>
      </c>
      <c r="D92" t="str">
        <v>47450953</v>
      </c>
      <c r="E92" s="9">
        <f t="shared" si="32"/>
        <v>2779111893</v>
      </c>
      <c r="F92" s="9">
        <f t="shared" si="33"/>
        <v>47450953</v>
      </c>
      <c r="G92" s="9">
        <f t="shared" si="34"/>
        <v>2826562845</v>
      </c>
      <c r="I92">
        <f t="shared" si="35"/>
        <v>3774783634</v>
      </c>
      <c r="J92">
        <f t="shared" si="36"/>
        <v>3822234586</v>
      </c>
    </row>
    <row r="93" spans="1:14">
      <c r="A93" s="3" t="s">
        <v>110</v>
      </c>
      <c r="B93" t="str" cm="1">
        <f t="array" ref="B93:D93">_xlfn.TEXTSPLIT(A93," ")</f>
        <v>4003014323</v>
      </c>
      <c r="C93" t="str">
        <v>3162037227</v>
      </c>
      <c r="D93" t="str">
        <v>291952973</v>
      </c>
      <c r="E93" s="9">
        <f t="shared" si="32"/>
        <v>3162037227</v>
      </c>
      <c r="F93" s="9">
        <f t="shared" si="33"/>
        <v>291952973</v>
      </c>
      <c r="G93" s="9">
        <f t="shared" si="34"/>
        <v>3453990199</v>
      </c>
      <c r="I93">
        <f t="shared" si="35"/>
        <v>4003014323</v>
      </c>
      <c r="J93">
        <f t="shared" si="36"/>
        <v>4294967295</v>
      </c>
    </row>
    <row r="94" spans="1:14">
      <c r="A94" s="3" t="s">
        <v>111</v>
      </c>
      <c r="B94" t="str" cm="1">
        <f t="array" ref="B94:D94">_xlfn.TEXTSPLIT(A94," ")</f>
        <v>419821782</v>
      </c>
      <c r="C94" t="str">
        <v>458077454</v>
      </c>
      <c r="D94" t="str">
        <v>105410758</v>
      </c>
      <c r="E94" s="9">
        <f t="shared" si="32"/>
        <v>458077454</v>
      </c>
      <c r="F94" s="9">
        <f t="shared" si="33"/>
        <v>105410758</v>
      </c>
      <c r="G94" s="9">
        <f t="shared" si="34"/>
        <v>563488211</v>
      </c>
      <c r="I94">
        <f t="shared" si="35"/>
        <v>419821782</v>
      </c>
      <c r="J94">
        <f t="shared" si="36"/>
        <v>525232539</v>
      </c>
    </row>
    <row r="95" spans="1:14">
      <c r="A95" s="3" t="s">
        <v>112</v>
      </c>
      <c r="B95" t="str" cm="1">
        <f t="array" ref="B95:D95">_xlfn.TEXTSPLIT(A95," ")</f>
        <v>3593519076</v>
      </c>
      <c r="C95" t="str">
        <v>1670839749</v>
      </c>
      <c r="D95" t="str">
        <v>52936435</v>
      </c>
      <c r="E95" s="9">
        <f t="shared" si="32"/>
        <v>1670839749</v>
      </c>
      <c r="F95" s="9">
        <f t="shared" si="33"/>
        <v>52936435</v>
      </c>
      <c r="G95" s="9">
        <f t="shared" si="34"/>
        <v>1723776183</v>
      </c>
      <c r="I95">
        <f t="shared" si="35"/>
        <v>3593519076</v>
      </c>
      <c r="J95">
        <f t="shared" si="36"/>
        <v>3646455510</v>
      </c>
    </row>
    <row r="96" spans="1:14">
      <c r="A96" s="3" t="s">
        <v>113</v>
      </c>
      <c r="B96" t="str" cm="1">
        <f t="array" ref="B96:D96">_xlfn.TEXTSPLIT(A96," ")</f>
        <v>1658696185</v>
      </c>
      <c r="C96" t="str">
        <v>4158058895</v>
      </c>
      <c r="D96" t="str">
        <v>14669285</v>
      </c>
      <c r="E96" s="9">
        <f t="shared" si="32"/>
        <v>4158058895</v>
      </c>
      <c r="F96" s="9">
        <f t="shared" si="33"/>
        <v>14669285</v>
      </c>
      <c r="G96" s="9">
        <f t="shared" si="34"/>
        <v>4172728179</v>
      </c>
      <c r="I96">
        <f t="shared" si="35"/>
        <v>1658696185</v>
      </c>
      <c r="J96">
        <f t="shared" si="36"/>
        <v>1673365469</v>
      </c>
    </row>
    <row r="97" spans="1:10">
      <c r="A97" s="3" t="s">
        <v>114</v>
      </c>
      <c r="B97" t="str" cm="1">
        <f t="array" ref="B97:D97">_xlfn.TEXTSPLIT(A97," ")</f>
        <v>2173080221</v>
      </c>
      <c r="C97" t="str">
        <v>2826562846</v>
      </c>
      <c r="D97" t="str">
        <v>7987389</v>
      </c>
      <c r="E97" s="9">
        <f t="shared" si="32"/>
        <v>2826562846</v>
      </c>
      <c r="F97" s="9">
        <f t="shared" si="33"/>
        <v>7987389</v>
      </c>
      <c r="G97" s="9">
        <f t="shared" si="34"/>
        <v>2834550234</v>
      </c>
      <c r="I97">
        <f t="shared" si="35"/>
        <v>2173080221</v>
      </c>
      <c r="J97">
        <f t="shared" si="36"/>
        <v>2181067609</v>
      </c>
    </row>
    <row r="98" spans="1:10">
      <c r="A98" s="3" t="s">
        <v>115</v>
      </c>
      <c r="B98" t="str" cm="1">
        <f t="array" ref="B98:D98">_xlfn.TEXTSPLIT(A98," ")</f>
        <v>1829948953</v>
      </c>
      <c r="C98" t="str">
        <v>3453990200</v>
      </c>
      <c r="D98" t="str">
        <v>343131268</v>
      </c>
      <c r="E98" s="9">
        <f t="shared" si="32"/>
        <v>3453990200</v>
      </c>
      <c r="F98" s="9">
        <f t="shared" si="33"/>
        <v>343131268</v>
      </c>
      <c r="G98" s="9">
        <f t="shared" si="34"/>
        <v>3797121467</v>
      </c>
      <c r="I98">
        <f t="shared" si="35"/>
        <v>1829948953</v>
      </c>
      <c r="J98">
        <f t="shared" si="36"/>
        <v>2173080220</v>
      </c>
    </row>
    <row r="99" spans="1:10">
      <c r="A99" s="3"/>
    </row>
    <row r="100" spans="1:10">
      <c r="A100" s="3" t="s">
        <v>16</v>
      </c>
      <c r="E100" t="s">
        <v>216</v>
      </c>
      <c r="I100" t="s">
        <v>215</v>
      </c>
    </row>
    <row r="101" spans="1:10">
      <c r="A101" s="3" t="s">
        <v>116</v>
      </c>
      <c r="B101" t="str" cm="1">
        <f t="array" ref="B101:D101">_xlfn.TEXTSPLIT(A101," ")</f>
        <v>457330729</v>
      </c>
      <c r="C101" t="str">
        <v>4090205185</v>
      </c>
      <c r="D101" t="str">
        <v>204762111</v>
      </c>
      <c r="E101" s="9">
        <f t="shared" ref="E101" si="37">VALUE(C101)</f>
        <v>4090205185</v>
      </c>
      <c r="F101" s="9">
        <f t="shared" ref="F101" si="38">VALUE(D101)</f>
        <v>204762111</v>
      </c>
      <c r="G101" s="9">
        <f t="shared" ref="G101" si="39">E101+F101-1</f>
        <v>4294967295</v>
      </c>
      <c r="I101">
        <f>VALUE(B101)</f>
        <v>457330729</v>
      </c>
      <c r="J101">
        <f t="shared" ref="J101" si="40">I101+F101-1</f>
        <v>662092839</v>
      </c>
    </row>
    <row r="102" spans="1:10">
      <c r="A102" s="3" t="s">
        <v>117</v>
      </c>
      <c r="B102" t="str" cm="1">
        <f t="array" ref="B102:D102">_xlfn.TEXTSPLIT(A102," ")</f>
        <v>2982196520</v>
      </c>
      <c r="C102" t="str">
        <v>3401667644</v>
      </c>
      <c r="D102" t="str">
        <v>30193953</v>
      </c>
      <c r="E102" s="9">
        <f t="shared" ref="E102:E129" si="41">VALUE(C102)</f>
        <v>3401667644</v>
      </c>
      <c r="F102" s="9">
        <f t="shared" ref="F102:F129" si="42">VALUE(D102)</f>
        <v>30193953</v>
      </c>
      <c r="G102" s="9">
        <f t="shared" ref="G102:G129" si="43">E102+F102-1</f>
        <v>3431861596</v>
      </c>
      <c r="I102">
        <f t="shared" ref="I102:I129" si="44">VALUE(B102)</f>
        <v>2982196520</v>
      </c>
      <c r="J102">
        <f t="shared" ref="J102:J129" si="45">I102+F102-1</f>
        <v>3012390472</v>
      </c>
    </row>
    <row r="103" spans="1:10">
      <c r="A103" s="3" t="s">
        <v>118</v>
      </c>
      <c r="B103" t="str" cm="1">
        <f t="array" ref="B103:D103">_xlfn.TEXTSPLIT(A103," ")</f>
        <v>2238727594</v>
      </c>
      <c r="C103" t="str">
        <v>3778270640</v>
      </c>
      <c r="D103" t="str">
        <v>263367024</v>
      </c>
      <c r="E103" s="9">
        <f t="shared" si="41"/>
        <v>3778270640</v>
      </c>
      <c r="F103" s="9">
        <f t="shared" si="42"/>
        <v>263367024</v>
      </c>
      <c r="G103" s="9">
        <f t="shared" si="43"/>
        <v>4041637663</v>
      </c>
      <c r="I103">
        <f t="shared" si="44"/>
        <v>2238727594</v>
      </c>
      <c r="J103">
        <f t="shared" si="45"/>
        <v>2502094617</v>
      </c>
    </row>
    <row r="104" spans="1:10">
      <c r="A104" s="3" t="s">
        <v>119</v>
      </c>
      <c r="B104" t="str" cm="1">
        <f t="array" ref="B104:D104">_xlfn.TEXTSPLIT(A104," ")</f>
        <v>2540710222</v>
      </c>
      <c r="C104" t="str">
        <v>1921368253</v>
      </c>
      <c r="D104" t="str">
        <v>380651678</v>
      </c>
      <c r="E104" s="9">
        <f t="shared" si="41"/>
        <v>1921368253</v>
      </c>
      <c r="F104" s="9">
        <f t="shared" si="42"/>
        <v>380651678</v>
      </c>
      <c r="G104" s="9">
        <f t="shared" si="43"/>
        <v>2302019930</v>
      </c>
      <c r="I104">
        <f t="shared" si="44"/>
        <v>2540710222</v>
      </c>
      <c r="J104">
        <f t="shared" si="45"/>
        <v>2921361899</v>
      </c>
    </row>
    <row r="105" spans="1:10">
      <c r="A105" s="3" t="s">
        <v>120</v>
      </c>
      <c r="B105" t="str" cm="1">
        <f t="array" ref="B105:D105">_xlfn.TEXTSPLIT(A105," ")</f>
        <v>2224576409</v>
      </c>
      <c r="C105" t="str">
        <v>4041637664</v>
      </c>
      <c r="D105" t="str">
        <v>14151185</v>
      </c>
      <c r="E105" s="9">
        <f t="shared" si="41"/>
        <v>4041637664</v>
      </c>
      <c r="F105" s="9">
        <f t="shared" si="42"/>
        <v>14151185</v>
      </c>
      <c r="G105" s="9">
        <f t="shared" si="43"/>
        <v>4055788848</v>
      </c>
      <c r="I105">
        <f t="shared" si="44"/>
        <v>2224576409</v>
      </c>
      <c r="J105">
        <f t="shared" si="45"/>
        <v>2238727593</v>
      </c>
    </row>
    <row r="106" spans="1:10">
      <c r="A106" s="3" t="s">
        <v>121</v>
      </c>
      <c r="B106" t="str" cm="1">
        <f t="array" ref="B106:D106">_xlfn.TEXTSPLIT(A106," ")</f>
        <v>1803946096</v>
      </c>
      <c r="C106" t="str">
        <v>1170025919</v>
      </c>
      <c r="D106" t="str">
        <v>125923944</v>
      </c>
      <c r="E106" s="9">
        <f t="shared" si="41"/>
        <v>1170025919</v>
      </c>
      <c r="F106" s="9">
        <f t="shared" si="42"/>
        <v>125923944</v>
      </c>
      <c r="G106" s="9">
        <f t="shared" si="43"/>
        <v>1295949862</v>
      </c>
      <c r="I106">
        <f t="shared" si="44"/>
        <v>1803946096</v>
      </c>
      <c r="J106">
        <f t="shared" si="45"/>
        <v>1929870039</v>
      </c>
    </row>
    <row r="107" spans="1:10">
      <c r="A107" s="3" t="s">
        <v>122</v>
      </c>
      <c r="B107" t="str" cm="1">
        <f t="array" ref="B107:D107">_xlfn.TEXTSPLIT(A107," ")</f>
        <v>947791690</v>
      </c>
      <c r="C107" t="str">
        <v>3069412788</v>
      </c>
      <c r="D107" t="str">
        <v>65888847</v>
      </c>
      <c r="E107" s="9">
        <f t="shared" si="41"/>
        <v>3069412788</v>
      </c>
      <c r="F107" s="9">
        <f t="shared" si="42"/>
        <v>65888847</v>
      </c>
      <c r="G107" s="9">
        <f t="shared" si="43"/>
        <v>3135301634</v>
      </c>
      <c r="I107">
        <f t="shared" si="44"/>
        <v>947791690</v>
      </c>
      <c r="J107">
        <f t="shared" si="45"/>
        <v>1013680536</v>
      </c>
    </row>
    <row r="108" spans="1:10">
      <c r="A108" s="3" t="s">
        <v>123</v>
      </c>
      <c r="B108" t="str" cm="1">
        <f t="array" ref="B108:D108">_xlfn.TEXTSPLIT(A108," ")</f>
        <v>3354708582</v>
      </c>
      <c r="C108" t="str">
        <v>3597834895</v>
      </c>
      <c r="D108" t="str">
        <v>180435745</v>
      </c>
      <c r="E108" s="9">
        <f t="shared" si="41"/>
        <v>3597834895</v>
      </c>
      <c r="F108" s="9">
        <f t="shared" si="42"/>
        <v>180435745</v>
      </c>
      <c r="G108" s="9">
        <f t="shared" si="43"/>
        <v>3778270639</v>
      </c>
      <c r="I108">
        <f t="shared" si="44"/>
        <v>3354708582</v>
      </c>
      <c r="J108">
        <f t="shared" si="45"/>
        <v>3535144326</v>
      </c>
    </row>
    <row r="109" spans="1:10">
      <c r="A109" s="3" t="s">
        <v>124</v>
      </c>
      <c r="B109" t="str" cm="1">
        <f t="array" ref="B109:D109">_xlfn.TEXTSPLIT(A109," ")</f>
        <v>1173448701</v>
      </c>
      <c r="C109" t="str">
        <v>516297801</v>
      </c>
      <c r="D109" t="str">
        <v>630497395</v>
      </c>
      <c r="E109" s="9">
        <f t="shared" si="41"/>
        <v>516297801</v>
      </c>
      <c r="F109" s="9">
        <f t="shared" si="42"/>
        <v>630497395</v>
      </c>
      <c r="G109" s="9">
        <f t="shared" si="43"/>
        <v>1146795195</v>
      </c>
      <c r="I109">
        <f t="shared" si="44"/>
        <v>1173448701</v>
      </c>
      <c r="J109">
        <f t="shared" si="45"/>
        <v>1803946095</v>
      </c>
    </row>
    <row r="110" spans="1:10">
      <c r="A110" s="3" t="s">
        <v>125</v>
      </c>
      <c r="B110" t="str" cm="1">
        <f t="array" ref="B110:D110">_xlfn.TEXTSPLIT(A110," ")</f>
        <v>4079424710</v>
      </c>
      <c r="C110" t="str">
        <v>2899828022</v>
      </c>
      <c r="D110" t="str">
        <v>88028778</v>
      </c>
      <c r="E110" s="9">
        <f t="shared" si="41"/>
        <v>2899828022</v>
      </c>
      <c r="F110" s="9">
        <f t="shared" si="42"/>
        <v>88028778</v>
      </c>
      <c r="G110" s="9">
        <f t="shared" si="43"/>
        <v>2987856799</v>
      </c>
      <c r="I110">
        <f t="shared" si="44"/>
        <v>4079424710</v>
      </c>
      <c r="J110">
        <f t="shared" si="45"/>
        <v>4167453487</v>
      </c>
    </row>
    <row r="111" spans="1:10">
      <c r="A111" s="3" t="s">
        <v>126</v>
      </c>
      <c r="B111" t="str" cm="1">
        <f t="array" ref="B111:D111">_xlfn.TEXTSPLIT(A111," ")</f>
        <v>1929870040</v>
      </c>
      <c r="C111" t="str">
        <v>1295949863</v>
      </c>
      <c r="D111" t="str">
        <v>294706369</v>
      </c>
      <c r="E111" s="9">
        <f t="shared" si="41"/>
        <v>1295949863</v>
      </c>
      <c r="F111" s="9">
        <f t="shared" si="42"/>
        <v>294706369</v>
      </c>
      <c r="G111" s="9">
        <f t="shared" si="43"/>
        <v>1590656231</v>
      </c>
      <c r="I111">
        <f t="shared" si="44"/>
        <v>1929870040</v>
      </c>
      <c r="J111">
        <f t="shared" si="45"/>
        <v>2224576408</v>
      </c>
    </row>
    <row r="112" spans="1:10">
      <c r="A112" s="3" t="s">
        <v>127</v>
      </c>
      <c r="B112" t="str" cm="1">
        <f t="array" ref="B112:D112">_xlfn.TEXTSPLIT(A112," ")</f>
        <v>928458849</v>
      </c>
      <c r="C112" t="str">
        <v>495946333</v>
      </c>
      <c r="D112" t="str">
        <v>19332841</v>
      </c>
      <c r="E112" s="9">
        <f t="shared" si="41"/>
        <v>495946333</v>
      </c>
      <c r="F112" s="9">
        <f t="shared" si="42"/>
        <v>19332841</v>
      </c>
      <c r="G112" s="9">
        <f t="shared" si="43"/>
        <v>515279173</v>
      </c>
      <c r="I112">
        <f t="shared" si="44"/>
        <v>928458849</v>
      </c>
      <c r="J112">
        <f t="shared" si="45"/>
        <v>947791689</v>
      </c>
    </row>
    <row r="113" spans="1:14">
      <c r="A113" s="3" t="s">
        <v>128</v>
      </c>
      <c r="B113" t="str" cm="1">
        <f t="array" ref="B113:D113">_xlfn.TEXTSPLIT(A113," ")</f>
        <v>3145865299</v>
      </c>
      <c r="C113" t="str">
        <v>515279174</v>
      </c>
      <c r="D113" t="str">
        <v>1018627</v>
      </c>
      <c r="E113" s="9">
        <f t="shared" si="41"/>
        <v>515279174</v>
      </c>
      <c r="F113" s="9">
        <f t="shared" si="42"/>
        <v>1018627</v>
      </c>
      <c r="G113" s="9">
        <f t="shared" si="43"/>
        <v>516297800</v>
      </c>
      <c r="I113">
        <f t="shared" si="44"/>
        <v>3145865299</v>
      </c>
      <c r="J113">
        <f t="shared" si="45"/>
        <v>3146883925</v>
      </c>
    </row>
    <row r="114" spans="1:14">
      <c r="A114" s="3" t="s">
        <v>129</v>
      </c>
      <c r="B114" t="str" cm="1">
        <f t="array" ref="B114:D114">_xlfn.TEXTSPLIT(A114," ")</f>
        <v>3071616223</v>
      </c>
      <c r="C114" t="str">
        <v>2825578946</v>
      </c>
      <c r="D114" t="str">
        <v>74249076</v>
      </c>
      <c r="E114" s="9">
        <f t="shared" si="41"/>
        <v>2825578946</v>
      </c>
      <c r="F114" s="9">
        <f t="shared" si="42"/>
        <v>74249076</v>
      </c>
      <c r="G114" s="9">
        <f t="shared" si="43"/>
        <v>2899828021</v>
      </c>
      <c r="I114">
        <f t="shared" si="44"/>
        <v>3071616223</v>
      </c>
      <c r="J114">
        <f t="shared" si="45"/>
        <v>3145865298</v>
      </c>
    </row>
    <row r="115" spans="1:14">
      <c r="A115" s="3" t="s">
        <v>130</v>
      </c>
      <c r="B115" t="str" cm="1">
        <f t="array" ref="B115:D115">_xlfn.TEXTSPLIT(A115," ")</f>
        <v>3012390473</v>
      </c>
      <c r="C115" t="str">
        <v>3431861597</v>
      </c>
      <c r="D115" t="str">
        <v>52676537</v>
      </c>
      <c r="E115" s="9">
        <f t="shared" si="41"/>
        <v>3431861597</v>
      </c>
      <c r="F115" s="9">
        <f t="shared" si="42"/>
        <v>52676537</v>
      </c>
      <c r="G115" s="9">
        <f t="shared" si="43"/>
        <v>3484538133</v>
      </c>
      <c r="I115">
        <f t="shared" si="44"/>
        <v>3012390473</v>
      </c>
      <c r="J115">
        <f t="shared" si="45"/>
        <v>3065067009</v>
      </c>
    </row>
    <row r="116" spans="1:14">
      <c r="A116" s="3" t="s">
        <v>131</v>
      </c>
      <c r="B116" t="str" cm="1">
        <f t="array" ref="B116:D116">_xlfn.TEXTSPLIT(A116," ")</f>
        <v>0</v>
      </c>
      <c r="C116" t="str">
        <v>156654134</v>
      </c>
      <c r="D116" t="str">
        <v>174053721</v>
      </c>
      <c r="E116" s="9">
        <f t="shared" si="41"/>
        <v>156654134</v>
      </c>
      <c r="F116" s="9">
        <f t="shared" si="42"/>
        <v>174053721</v>
      </c>
      <c r="G116" s="9">
        <f t="shared" si="43"/>
        <v>330707854</v>
      </c>
      <c r="I116">
        <f t="shared" si="44"/>
        <v>0</v>
      </c>
      <c r="J116">
        <f t="shared" si="45"/>
        <v>174053720</v>
      </c>
    </row>
    <row r="117" spans="1:14">
      <c r="A117" s="3" t="s">
        <v>132</v>
      </c>
      <c r="B117" t="str" cm="1">
        <f t="array" ref="B117:D117">_xlfn.TEXTSPLIT(A117," ")</f>
        <v>1013680537</v>
      </c>
      <c r="C117" t="str">
        <v>1590656232</v>
      </c>
      <c r="D117" t="str">
        <v>159768164</v>
      </c>
      <c r="E117" s="9">
        <f t="shared" si="41"/>
        <v>1590656232</v>
      </c>
      <c r="F117" s="9">
        <f t="shared" si="42"/>
        <v>159768164</v>
      </c>
      <c r="G117" s="9">
        <f t="shared" si="43"/>
        <v>1750424395</v>
      </c>
      <c r="I117">
        <f t="shared" si="44"/>
        <v>1013680537</v>
      </c>
      <c r="J117">
        <f t="shared" si="45"/>
        <v>1173448700</v>
      </c>
    </row>
    <row r="118" spans="1:14">
      <c r="A118" s="3" t="s">
        <v>133</v>
      </c>
      <c r="B118" t="str" cm="1">
        <f t="array" ref="B118:D118">_xlfn.TEXTSPLIT(A118," ")</f>
        <v>2502094618</v>
      </c>
      <c r="C118" t="str">
        <v>457330729</v>
      </c>
      <c r="D118" t="str">
        <v>38615604</v>
      </c>
      <c r="E118" s="9">
        <f t="shared" si="41"/>
        <v>457330729</v>
      </c>
      <c r="F118" s="9">
        <f t="shared" si="42"/>
        <v>38615604</v>
      </c>
      <c r="G118" s="9">
        <f t="shared" si="43"/>
        <v>495946332</v>
      </c>
      <c r="I118">
        <f t="shared" si="44"/>
        <v>2502094618</v>
      </c>
      <c r="J118">
        <f t="shared" si="45"/>
        <v>2540710221</v>
      </c>
    </row>
    <row r="119" spans="1:14">
      <c r="A119" s="3" t="s">
        <v>134</v>
      </c>
      <c r="B119" t="str" cm="1">
        <f t="array" ref="B119:D119">_xlfn.TEXTSPLIT(A119," ")</f>
        <v>4167453488</v>
      </c>
      <c r="C119" t="str">
        <v>3484538134</v>
      </c>
      <c r="D119" t="str">
        <v>113296761</v>
      </c>
      <c r="E119" s="9">
        <f t="shared" si="41"/>
        <v>3484538134</v>
      </c>
      <c r="F119" s="9">
        <f t="shared" si="42"/>
        <v>113296761</v>
      </c>
      <c r="G119" s="9">
        <f t="shared" si="43"/>
        <v>3597834894</v>
      </c>
      <c r="I119">
        <f t="shared" si="44"/>
        <v>4167453488</v>
      </c>
      <c r="J119">
        <f t="shared" si="45"/>
        <v>4280750248</v>
      </c>
    </row>
    <row r="120" spans="1:14">
      <c r="A120" s="3" t="s">
        <v>135</v>
      </c>
      <c r="B120" t="str" cm="1">
        <f t="array" ref="B120:D120">_xlfn.TEXTSPLIT(A120," ")</f>
        <v>4058703342</v>
      </c>
      <c r="C120" t="str">
        <v>3048691420</v>
      </c>
      <c r="D120" t="str">
        <v>20721368</v>
      </c>
      <c r="E120" s="9">
        <f t="shared" si="41"/>
        <v>3048691420</v>
      </c>
      <c r="F120" s="9">
        <f t="shared" si="42"/>
        <v>20721368</v>
      </c>
      <c r="G120" s="9">
        <f t="shared" si="43"/>
        <v>3069412787</v>
      </c>
      <c r="I120">
        <f t="shared" si="44"/>
        <v>4058703342</v>
      </c>
      <c r="J120">
        <f t="shared" si="45"/>
        <v>4079424709</v>
      </c>
    </row>
    <row r="121" spans="1:14">
      <c r="A121" s="3" t="s">
        <v>136</v>
      </c>
      <c r="B121" t="str" cm="1">
        <f t="array" ref="B121:D121">_xlfn.TEXTSPLIT(A121," ")</f>
        <v>3146883926</v>
      </c>
      <c r="C121" t="str">
        <v>1750424396</v>
      </c>
      <c r="D121" t="str">
        <v>164394644</v>
      </c>
      <c r="E121" s="9">
        <f t="shared" si="41"/>
        <v>1750424396</v>
      </c>
      <c r="F121" s="9">
        <f t="shared" si="42"/>
        <v>164394644</v>
      </c>
      <c r="G121" s="9">
        <f t="shared" si="43"/>
        <v>1914819039</v>
      </c>
      <c r="I121">
        <f t="shared" si="44"/>
        <v>3146883926</v>
      </c>
      <c r="J121">
        <f t="shared" si="45"/>
        <v>3311278569</v>
      </c>
    </row>
    <row r="122" spans="1:14">
      <c r="A122" s="3" t="s">
        <v>137</v>
      </c>
      <c r="B122" t="str" cm="1">
        <f t="array" ref="B122:D122">_xlfn.TEXTSPLIT(A122," ")</f>
        <v>662092840</v>
      </c>
      <c r="C122" t="str">
        <v>3135301635</v>
      </c>
      <c r="D122" t="str">
        <v>266366009</v>
      </c>
      <c r="E122" s="9">
        <f t="shared" si="41"/>
        <v>3135301635</v>
      </c>
      <c r="F122" s="9">
        <f t="shared" si="42"/>
        <v>266366009</v>
      </c>
      <c r="G122" s="9">
        <f t="shared" si="43"/>
        <v>3401667643</v>
      </c>
      <c r="I122" s="9">
        <f t="shared" si="44"/>
        <v>662092840</v>
      </c>
      <c r="J122" s="9">
        <f t="shared" si="45"/>
        <v>928458848</v>
      </c>
      <c r="M122" t="s">
        <v>222</v>
      </c>
    </row>
    <row r="123" spans="1:14">
      <c r="A123" s="3" t="s">
        <v>138</v>
      </c>
      <c r="B123" t="str" cm="1">
        <f t="array" ref="B123:D123">_xlfn.TEXTSPLIT(A123," ")</f>
        <v>174053721</v>
      </c>
      <c r="C123" t="str">
        <v>0</v>
      </c>
      <c r="D123" t="str">
        <v>156654134</v>
      </c>
      <c r="E123" s="9">
        <f t="shared" si="41"/>
        <v>0</v>
      </c>
      <c r="F123" s="9">
        <f t="shared" si="42"/>
        <v>156654134</v>
      </c>
      <c r="G123" s="9">
        <f t="shared" si="43"/>
        <v>156654133</v>
      </c>
      <c r="I123" s="9">
        <f t="shared" si="44"/>
        <v>174053721</v>
      </c>
      <c r="J123" s="9">
        <f t="shared" si="45"/>
        <v>330707854</v>
      </c>
      <c r="K123" s="12">
        <v>334921462</v>
      </c>
      <c r="L123" s="12">
        <v>336849519</v>
      </c>
      <c r="M123" s="10">
        <f>K123</f>
        <v>334921462</v>
      </c>
      <c r="N123" s="10">
        <f>L123</f>
        <v>336849519</v>
      </c>
    </row>
    <row r="124" spans="1:14">
      <c r="A124" s="3" t="s">
        <v>139</v>
      </c>
      <c r="B124" t="str" cm="1">
        <f t="array" ref="B124:D124">_xlfn.TEXTSPLIT(A124," ")</f>
        <v>4280750249</v>
      </c>
      <c r="C124" t="str">
        <v>4055788849</v>
      </c>
      <c r="D124" t="str">
        <v>14217047</v>
      </c>
      <c r="E124" s="9">
        <f t="shared" si="41"/>
        <v>4055788849</v>
      </c>
      <c r="F124" s="9">
        <f t="shared" si="42"/>
        <v>14217047</v>
      </c>
      <c r="G124" s="9">
        <f t="shared" si="43"/>
        <v>4070005895</v>
      </c>
      <c r="I124">
        <f t="shared" si="44"/>
        <v>4280750249</v>
      </c>
      <c r="J124">
        <f t="shared" si="45"/>
        <v>4294967295</v>
      </c>
    </row>
    <row r="125" spans="1:14">
      <c r="A125" s="3" t="s">
        <v>140</v>
      </c>
      <c r="B125" t="str" cm="1">
        <f t="array" ref="B125:D125">_xlfn.TEXTSPLIT(A125," ")</f>
        <v>3311278570</v>
      </c>
      <c r="C125" t="str">
        <v>1146795196</v>
      </c>
      <c r="D125" t="str">
        <v>23230723</v>
      </c>
      <c r="E125" s="9">
        <f t="shared" si="41"/>
        <v>1146795196</v>
      </c>
      <c r="F125" s="9">
        <f t="shared" si="42"/>
        <v>23230723</v>
      </c>
      <c r="G125" s="9">
        <f t="shared" si="43"/>
        <v>1170025918</v>
      </c>
      <c r="I125">
        <f t="shared" si="44"/>
        <v>3311278570</v>
      </c>
      <c r="J125">
        <f t="shared" si="45"/>
        <v>3334509292</v>
      </c>
    </row>
    <row r="126" spans="1:14">
      <c r="A126" s="3" t="s">
        <v>141</v>
      </c>
      <c r="B126" t="str" cm="1">
        <f t="array" ref="B126:D126">_xlfn.TEXTSPLIT(A126," ")</f>
        <v>3334509293</v>
      </c>
      <c r="C126" t="str">
        <v>4070005896</v>
      </c>
      <c r="D126" t="str">
        <v>20199289</v>
      </c>
      <c r="E126" s="9">
        <f t="shared" si="41"/>
        <v>4070005896</v>
      </c>
      <c r="F126" s="9">
        <f t="shared" si="42"/>
        <v>20199289</v>
      </c>
      <c r="G126" s="9">
        <f t="shared" si="43"/>
        <v>4090205184</v>
      </c>
      <c r="I126">
        <f t="shared" si="44"/>
        <v>3334509293</v>
      </c>
      <c r="J126">
        <f t="shared" si="45"/>
        <v>3354708581</v>
      </c>
    </row>
    <row r="127" spans="1:14">
      <c r="A127" s="3" t="s">
        <v>142</v>
      </c>
      <c r="B127" t="str" cm="1">
        <f t="array" ref="B127:D127">_xlfn.TEXTSPLIT(A127," ")</f>
        <v>3535144327</v>
      </c>
      <c r="C127" t="str">
        <v>2302019931</v>
      </c>
      <c r="D127" t="str">
        <v>523559015</v>
      </c>
      <c r="E127" s="9">
        <f t="shared" si="41"/>
        <v>2302019931</v>
      </c>
      <c r="F127" s="9">
        <f t="shared" si="42"/>
        <v>523559015</v>
      </c>
      <c r="G127" s="9">
        <f t="shared" si="43"/>
        <v>2825578945</v>
      </c>
      <c r="I127">
        <f t="shared" si="44"/>
        <v>3535144327</v>
      </c>
      <c r="J127">
        <f t="shared" si="45"/>
        <v>4058703341</v>
      </c>
    </row>
    <row r="128" spans="1:14">
      <c r="A128" s="3" t="s">
        <v>143</v>
      </c>
      <c r="B128" t="str" cm="1">
        <f t="array" ref="B128:D128">_xlfn.TEXTSPLIT(A128," ")</f>
        <v>3065067010</v>
      </c>
      <c r="C128" t="str">
        <v>1914819040</v>
      </c>
      <c r="D128" t="str">
        <v>6549213</v>
      </c>
      <c r="E128" s="9">
        <f t="shared" si="41"/>
        <v>1914819040</v>
      </c>
      <c r="F128" s="9">
        <f t="shared" si="42"/>
        <v>6549213</v>
      </c>
      <c r="G128" s="9">
        <f t="shared" si="43"/>
        <v>1921368252</v>
      </c>
      <c r="I128">
        <f t="shared" si="44"/>
        <v>3065067010</v>
      </c>
      <c r="J128">
        <f t="shared" si="45"/>
        <v>3071616222</v>
      </c>
    </row>
    <row r="129" spans="1:14">
      <c r="A129" s="3" t="s">
        <v>144</v>
      </c>
      <c r="B129" t="str" cm="1">
        <f t="array" ref="B129:D129">_xlfn.TEXTSPLIT(A129," ")</f>
        <v>2921361900</v>
      </c>
      <c r="C129" t="str">
        <v>2987856800</v>
      </c>
      <c r="D129" t="str">
        <v>60834620</v>
      </c>
      <c r="E129" s="9">
        <f t="shared" si="41"/>
        <v>2987856800</v>
      </c>
      <c r="F129" s="9">
        <f t="shared" si="42"/>
        <v>60834620</v>
      </c>
      <c r="G129" s="9">
        <f t="shared" si="43"/>
        <v>3048691419</v>
      </c>
      <c r="I129">
        <f t="shared" si="44"/>
        <v>2921361900</v>
      </c>
      <c r="J129">
        <f t="shared" si="45"/>
        <v>2982196519</v>
      </c>
    </row>
    <row r="130" spans="1:14">
      <c r="A130" s="3"/>
    </row>
    <row r="131" spans="1:14">
      <c r="A131" s="3" t="s">
        <v>20</v>
      </c>
      <c r="E131" t="s">
        <v>215</v>
      </c>
      <c r="I131" t="s">
        <v>213</v>
      </c>
    </row>
    <row r="132" spans="1:14">
      <c r="A132" s="3" t="s">
        <v>145</v>
      </c>
      <c r="B132" t="str" cm="1">
        <f t="array" ref="B132:D132">_xlfn.TEXTSPLIT(A132," ")</f>
        <v>19014508</v>
      </c>
      <c r="C132" t="str">
        <v>1616728169</v>
      </c>
      <c r="D132" t="str">
        <v>261978440</v>
      </c>
      <c r="E132" s="9">
        <f t="shared" ref="E132:E162" si="46">VALUE(C132)</f>
        <v>1616728169</v>
      </c>
      <c r="F132" s="9">
        <f t="shared" ref="F132:F162" si="47">VALUE(D132)</f>
        <v>261978440</v>
      </c>
      <c r="G132" s="9">
        <f t="shared" ref="G132:G162" si="48">E132+F132-1</f>
        <v>1878706608</v>
      </c>
      <c r="I132">
        <f t="shared" ref="I132:I162" si="49">VALUE(B132)</f>
        <v>19014508</v>
      </c>
      <c r="J132">
        <f t="shared" ref="J132:J161" si="50">I132+F132-1</f>
        <v>280992947</v>
      </c>
    </row>
    <row r="133" spans="1:14">
      <c r="A133" s="3" t="s">
        <v>146</v>
      </c>
      <c r="B133" t="str" cm="1">
        <f t="array" ref="B133:D133">_xlfn.TEXTSPLIT(A133," ")</f>
        <v>479364011</v>
      </c>
      <c r="C133" t="str">
        <v>879054632</v>
      </c>
      <c r="D133" t="str">
        <v>183139707</v>
      </c>
      <c r="E133" s="9">
        <f t="shared" si="46"/>
        <v>879054632</v>
      </c>
      <c r="F133" s="9">
        <f t="shared" si="47"/>
        <v>183139707</v>
      </c>
      <c r="G133" s="9">
        <f t="shared" si="48"/>
        <v>1062194338</v>
      </c>
      <c r="I133">
        <f t="shared" si="49"/>
        <v>479364011</v>
      </c>
      <c r="J133">
        <f t="shared" si="50"/>
        <v>662503717</v>
      </c>
    </row>
    <row r="134" spans="1:14">
      <c r="A134" s="3" t="s">
        <v>147</v>
      </c>
      <c r="B134" t="str" cm="1">
        <f t="array" ref="B134:D134">_xlfn.TEXTSPLIT(A134," ")</f>
        <v>3422279791</v>
      </c>
      <c r="C134" t="str">
        <v>4197415651</v>
      </c>
      <c r="D134" t="str">
        <v>97551645</v>
      </c>
      <c r="E134" s="9">
        <f t="shared" si="46"/>
        <v>4197415651</v>
      </c>
      <c r="F134" s="9">
        <f t="shared" si="47"/>
        <v>97551645</v>
      </c>
      <c r="G134" s="9">
        <f t="shared" si="48"/>
        <v>4294967295</v>
      </c>
      <c r="I134">
        <f t="shared" si="49"/>
        <v>3422279791</v>
      </c>
      <c r="J134">
        <f t="shared" si="50"/>
        <v>3519831435</v>
      </c>
    </row>
    <row r="135" spans="1:14">
      <c r="A135" s="3" t="s">
        <v>148</v>
      </c>
      <c r="B135" t="str" cm="1">
        <f t="array" ref="B135:D135">_xlfn.TEXTSPLIT(A135," ")</f>
        <v>2947838505</v>
      </c>
      <c r="C135" t="str">
        <v>2859883311</v>
      </c>
      <c r="D135" t="str">
        <v>474441286</v>
      </c>
      <c r="E135" s="9">
        <f t="shared" si="46"/>
        <v>2859883311</v>
      </c>
      <c r="F135" s="9">
        <f t="shared" si="47"/>
        <v>474441286</v>
      </c>
      <c r="G135" s="9">
        <f t="shared" si="48"/>
        <v>3334324596</v>
      </c>
      <c r="I135">
        <f t="shared" si="49"/>
        <v>2947838505</v>
      </c>
      <c r="J135">
        <f t="shared" si="50"/>
        <v>3422279790</v>
      </c>
    </row>
    <row r="136" spans="1:14">
      <c r="A136" s="3" t="s">
        <v>149</v>
      </c>
      <c r="B136" t="str" cm="1">
        <f t="array" ref="B136:D136">_xlfn.TEXTSPLIT(A136," ")</f>
        <v>3922771609</v>
      </c>
      <c r="C136" t="str">
        <v>3441941550</v>
      </c>
      <c r="D136" t="str">
        <v>130194267</v>
      </c>
      <c r="E136" s="9">
        <f t="shared" si="46"/>
        <v>3441941550</v>
      </c>
      <c r="F136" s="9">
        <f t="shared" si="47"/>
        <v>130194267</v>
      </c>
      <c r="G136" s="9">
        <f t="shared" si="48"/>
        <v>3572135816</v>
      </c>
      <c r="I136">
        <f t="shared" si="49"/>
        <v>3922771609</v>
      </c>
      <c r="J136">
        <f t="shared" si="50"/>
        <v>4052965875</v>
      </c>
    </row>
    <row r="137" spans="1:14">
      <c r="A137" s="3" t="s">
        <v>150</v>
      </c>
      <c r="B137" t="str" cm="1">
        <f t="array" ref="B137:D137">_xlfn.TEXTSPLIT(A137," ")</f>
        <v>1538347549</v>
      </c>
      <c r="C137" t="str">
        <v>1285663854</v>
      </c>
      <c r="D137" t="str">
        <v>77335299</v>
      </c>
      <c r="E137" s="9">
        <f t="shared" si="46"/>
        <v>1285663854</v>
      </c>
      <c r="F137" s="9">
        <f t="shared" si="47"/>
        <v>77335299</v>
      </c>
      <c r="G137" s="9">
        <f t="shared" si="48"/>
        <v>1362999152</v>
      </c>
      <c r="I137">
        <f t="shared" si="49"/>
        <v>1538347549</v>
      </c>
      <c r="J137">
        <f t="shared" si="50"/>
        <v>1615682847</v>
      </c>
    </row>
    <row r="138" spans="1:14">
      <c r="A138" s="3" t="s">
        <v>151</v>
      </c>
      <c r="B138" t="str" cm="1">
        <f t="array" ref="B138:D138">_xlfn.TEXTSPLIT(A138," ")</f>
        <v>4074125861</v>
      </c>
      <c r="C138" t="str">
        <v>3334324597</v>
      </c>
      <c r="D138" t="str">
        <v>17231539</v>
      </c>
      <c r="E138" s="9">
        <f t="shared" si="46"/>
        <v>3334324597</v>
      </c>
      <c r="F138" s="9">
        <f t="shared" si="47"/>
        <v>17231539</v>
      </c>
      <c r="G138" s="9">
        <f t="shared" si="48"/>
        <v>3351556135</v>
      </c>
      <c r="I138">
        <f t="shared" si="49"/>
        <v>4074125861</v>
      </c>
      <c r="J138">
        <f t="shared" si="50"/>
        <v>4091357399</v>
      </c>
    </row>
    <row r="139" spans="1:14">
      <c r="A139" s="3" t="s">
        <v>152</v>
      </c>
      <c r="B139" t="str" cm="1">
        <f t="array" ref="B139:D139">_xlfn.TEXTSPLIT(A139," ")</f>
        <v>2692139672</v>
      </c>
      <c r="C139" t="str">
        <v>3923798143</v>
      </c>
      <c r="D139" t="str">
        <v>165313419</v>
      </c>
      <c r="E139" s="9">
        <f t="shared" si="46"/>
        <v>3923798143</v>
      </c>
      <c r="F139" s="9">
        <f t="shared" si="47"/>
        <v>165313419</v>
      </c>
      <c r="G139" s="9">
        <f t="shared" si="48"/>
        <v>4089111561</v>
      </c>
      <c r="I139">
        <f t="shared" si="49"/>
        <v>2692139672</v>
      </c>
      <c r="J139">
        <f t="shared" si="50"/>
        <v>2857453090</v>
      </c>
    </row>
    <row r="140" spans="1:14">
      <c r="A140" s="3" t="s">
        <v>153</v>
      </c>
      <c r="B140" t="str" cm="1">
        <f t="array" ref="B140:D140">_xlfn.TEXTSPLIT(A140," ")</f>
        <v>3867887507</v>
      </c>
      <c r="C140" t="str">
        <v>3572135817</v>
      </c>
      <c r="D140" t="str">
        <v>45827004</v>
      </c>
      <c r="E140" s="9">
        <f t="shared" si="46"/>
        <v>3572135817</v>
      </c>
      <c r="F140" s="9">
        <f t="shared" si="47"/>
        <v>45827004</v>
      </c>
      <c r="G140" s="9">
        <f t="shared" si="48"/>
        <v>3617962820</v>
      </c>
      <c r="I140">
        <f t="shared" si="49"/>
        <v>3867887507</v>
      </c>
      <c r="J140">
        <f t="shared" si="50"/>
        <v>3913714510</v>
      </c>
    </row>
    <row r="141" spans="1:14">
      <c r="A141" s="3" t="s">
        <v>154</v>
      </c>
      <c r="B141" t="str" cm="1">
        <f t="array" ref="B141:D141">_xlfn.TEXTSPLIT(A141," ")</f>
        <v>4091357400</v>
      </c>
      <c r="C141" t="str">
        <v>2695950683</v>
      </c>
      <c r="D141" t="str">
        <v>148956394</v>
      </c>
      <c r="E141" s="9">
        <f t="shared" si="46"/>
        <v>2695950683</v>
      </c>
      <c r="F141" s="9">
        <f t="shared" si="47"/>
        <v>148956394</v>
      </c>
      <c r="G141" s="9">
        <f t="shared" si="48"/>
        <v>2844907076</v>
      </c>
      <c r="I141">
        <f t="shared" si="49"/>
        <v>4091357400</v>
      </c>
      <c r="J141">
        <f t="shared" si="50"/>
        <v>4240313793</v>
      </c>
    </row>
    <row r="142" spans="1:14">
      <c r="A142" s="3" t="s">
        <v>155</v>
      </c>
      <c r="B142" t="str" cm="1">
        <f t="array" ref="B142:D142">_xlfn.TEXTSPLIT(A142," ")</f>
        <v>280992948</v>
      </c>
      <c r="C142" t="str">
        <v>874337342</v>
      </c>
      <c r="D142" t="str">
        <v>4717290</v>
      </c>
      <c r="E142" s="9">
        <f t="shared" si="46"/>
        <v>874337342</v>
      </c>
      <c r="F142" s="9">
        <f t="shared" si="47"/>
        <v>4717290</v>
      </c>
      <c r="G142" s="9">
        <f t="shared" si="48"/>
        <v>879054631</v>
      </c>
      <c r="I142">
        <f t="shared" si="49"/>
        <v>280992948</v>
      </c>
      <c r="J142">
        <f t="shared" si="50"/>
        <v>285710237</v>
      </c>
    </row>
    <row r="143" spans="1:14">
      <c r="A143" s="3" t="s">
        <v>156</v>
      </c>
      <c r="B143" t="str" cm="1">
        <f t="array" ref="B143:D143">_xlfn.TEXTSPLIT(A143," ")</f>
        <v>3585981058</v>
      </c>
      <c r="C143" t="str">
        <v>4137845928</v>
      </c>
      <c r="D143" t="str">
        <v>59569723</v>
      </c>
      <c r="E143" s="9">
        <f t="shared" si="46"/>
        <v>4137845928</v>
      </c>
      <c r="F143" s="9">
        <f t="shared" si="47"/>
        <v>59569723</v>
      </c>
      <c r="G143" s="9">
        <f t="shared" si="48"/>
        <v>4197415650</v>
      </c>
      <c r="I143">
        <f t="shared" si="49"/>
        <v>3585981058</v>
      </c>
      <c r="J143">
        <f t="shared" si="50"/>
        <v>3645550780</v>
      </c>
      <c r="M143" t="s">
        <v>221</v>
      </c>
    </row>
    <row r="144" spans="1:14">
      <c r="A144" s="3" t="s">
        <v>157</v>
      </c>
      <c r="B144" t="str" cm="1">
        <f t="array" ref="B144:D144">_xlfn.TEXTSPLIT(A144," ")</f>
        <v>1194193608</v>
      </c>
      <c r="C144" t="str">
        <v>267159640</v>
      </c>
      <c r="D144" t="str">
        <v>344153941</v>
      </c>
      <c r="E144" s="11">
        <f t="shared" si="46"/>
        <v>267159640</v>
      </c>
      <c r="F144" s="9">
        <f t="shared" si="47"/>
        <v>344153941</v>
      </c>
      <c r="G144" s="11">
        <f t="shared" si="48"/>
        <v>611313580</v>
      </c>
      <c r="I144" s="20">
        <f t="shared" si="49"/>
        <v>1194193608</v>
      </c>
      <c r="J144" s="20">
        <f t="shared" si="50"/>
        <v>1538347548</v>
      </c>
      <c r="K144">
        <v>1261955430</v>
      </c>
      <c r="L144">
        <v>1263883487</v>
      </c>
      <c r="M144" s="8">
        <f>E144+(K144-I144)</f>
        <v>334921462</v>
      </c>
      <c r="N144" s="8">
        <f>M144+L144-K144</f>
        <v>336849519</v>
      </c>
    </row>
    <row r="145" spans="1:10">
      <c r="A145" s="3" t="s">
        <v>158</v>
      </c>
      <c r="B145" t="str" cm="1">
        <f t="array" ref="B145:D145">_xlfn.TEXTSPLIT(A145," ")</f>
        <v>3645550781</v>
      </c>
      <c r="C145" t="str">
        <v>2226309992</v>
      </c>
      <c r="D145" t="str">
        <v>39998882</v>
      </c>
      <c r="E145" s="9">
        <f t="shared" si="46"/>
        <v>2226309992</v>
      </c>
      <c r="F145" s="9">
        <f t="shared" si="47"/>
        <v>39998882</v>
      </c>
      <c r="G145" s="9">
        <f t="shared" si="48"/>
        <v>2266308873</v>
      </c>
      <c r="I145">
        <f t="shared" si="49"/>
        <v>3645550781</v>
      </c>
      <c r="J145">
        <f t="shared" si="50"/>
        <v>3685549662</v>
      </c>
    </row>
    <row r="146" spans="1:10">
      <c r="A146" s="3" t="s">
        <v>159</v>
      </c>
      <c r="B146" t="str" cm="1">
        <f t="array" ref="B146:D146">_xlfn.TEXTSPLIT(A146," ")</f>
        <v>2606341883</v>
      </c>
      <c r="C146" t="str">
        <v>3617962821</v>
      </c>
      <c r="D146" t="str">
        <v>85797789</v>
      </c>
      <c r="E146" s="9">
        <f t="shared" si="46"/>
        <v>3617962821</v>
      </c>
      <c r="F146" s="9">
        <f t="shared" si="47"/>
        <v>85797789</v>
      </c>
      <c r="G146" s="9">
        <f t="shared" si="48"/>
        <v>3703760609</v>
      </c>
      <c r="I146">
        <f t="shared" si="49"/>
        <v>2606341883</v>
      </c>
      <c r="J146">
        <f t="shared" si="50"/>
        <v>2692139671</v>
      </c>
    </row>
    <row r="147" spans="1:10">
      <c r="A147" s="3" t="s">
        <v>160</v>
      </c>
      <c r="B147" t="str" cm="1">
        <f t="array" ref="B147:D147">_xlfn.TEXTSPLIT(A147," ")</f>
        <v>2452453972</v>
      </c>
      <c r="C147" t="str">
        <v>3769910232</v>
      </c>
      <c r="D147" t="str">
        <v>153887911</v>
      </c>
      <c r="E147" s="9">
        <f t="shared" si="46"/>
        <v>3769910232</v>
      </c>
      <c r="F147" s="9">
        <f t="shared" si="47"/>
        <v>153887911</v>
      </c>
      <c r="G147" s="9">
        <f t="shared" si="48"/>
        <v>3923798142</v>
      </c>
      <c r="I147">
        <f t="shared" si="49"/>
        <v>2452453972</v>
      </c>
      <c r="J147">
        <f t="shared" si="50"/>
        <v>2606341882</v>
      </c>
    </row>
    <row r="148" spans="1:10">
      <c r="A148" s="3" t="s">
        <v>161</v>
      </c>
      <c r="B148" t="str" cm="1">
        <f t="array" ref="B148:D148">_xlfn.TEXTSPLIT(A148," ")</f>
        <v>4279991062</v>
      </c>
      <c r="C148" t="str">
        <v>2844907077</v>
      </c>
      <c r="D148" t="str">
        <v>14976234</v>
      </c>
      <c r="E148" s="9">
        <f t="shared" si="46"/>
        <v>2844907077</v>
      </c>
      <c r="F148" s="9">
        <f t="shared" si="47"/>
        <v>14976234</v>
      </c>
      <c r="G148" s="9">
        <f t="shared" si="48"/>
        <v>2859883310</v>
      </c>
      <c r="I148">
        <f t="shared" si="49"/>
        <v>4279991062</v>
      </c>
      <c r="J148">
        <f t="shared" si="50"/>
        <v>4294967295</v>
      </c>
    </row>
    <row r="149" spans="1:10">
      <c r="A149" s="3" t="s">
        <v>162</v>
      </c>
      <c r="B149" t="str" cm="1">
        <f t="array" ref="B149:D149">_xlfn.TEXTSPLIT(A149," ")</f>
        <v>4240313794</v>
      </c>
      <c r="C149" t="str">
        <v>4089111562</v>
      </c>
      <c r="D149" t="str">
        <v>39677268</v>
      </c>
      <c r="E149" s="9">
        <f t="shared" si="46"/>
        <v>4089111562</v>
      </c>
      <c r="F149" s="9">
        <f t="shared" si="47"/>
        <v>39677268</v>
      </c>
      <c r="G149" s="9">
        <f t="shared" si="48"/>
        <v>4128788829</v>
      </c>
      <c r="I149">
        <f t="shared" si="49"/>
        <v>4240313794</v>
      </c>
      <c r="J149">
        <f t="shared" si="50"/>
        <v>4279991061</v>
      </c>
    </row>
    <row r="150" spans="1:10">
      <c r="A150" s="3" t="s">
        <v>163</v>
      </c>
      <c r="B150" t="str" cm="1">
        <f t="array" ref="B150:D150">_xlfn.TEXTSPLIT(A150," ")</f>
        <v>285710238</v>
      </c>
      <c r="C150" t="str">
        <v>0</v>
      </c>
      <c r="D150" t="str">
        <v>193653773</v>
      </c>
      <c r="E150" s="9">
        <f t="shared" si="46"/>
        <v>0</v>
      </c>
      <c r="F150" s="9">
        <f t="shared" si="47"/>
        <v>193653773</v>
      </c>
      <c r="G150" s="9">
        <f t="shared" si="48"/>
        <v>193653772</v>
      </c>
      <c r="I150">
        <f t="shared" si="49"/>
        <v>285710238</v>
      </c>
      <c r="J150">
        <f t="shared" si="50"/>
        <v>479364010</v>
      </c>
    </row>
    <row r="151" spans="1:10">
      <c r="A151" s="3" t="s">
        <v>164</v>
      </c>
      <c r="B151" t="str" cm="1">
        <f t="array" ref="B151:D151">_xlfn.TEXTSPLIT(A151," ")</f>
        <v>662503718</v>
      </c>
      <c r="C151" t="str">
        <v>1585706204</v>
      </c>
      <c r="D151" t="str">
        <v>31021965</v>
      </c>
      <c r="E151" s="9">
        <f t="shared" si="46"/>
        <v>1585706204</v>
      </c>
      <c r="F151" s="9">
        <f t="shared" si="47"/>
        <v>31021965</v>
      </c>
      <c r="G151" s="9">
        <f t="shared" si="48"/>
        <v>1616728168</v>
      </c>
      <c r="I151">
        <f t="shared" si="49"/>
        <v>662503718</v>
      </c>
      <c r="J151">
        <f t="shared" si="50"/>
        <v>693525682</v>
      </c>
    </row>
    <row r="152" spans="1:10">
      <c r="A152" s="3" t="s">
        <v>165</v>
      </c>
      <c r="B152" t="str" cm="1">
        <f t="array" ref="B152:D152">_xlfn.TEXTSPLIT(A152," ")</f>
        <v>4052965876</v>
      </c>
      <c r="C152" t="str">
        <v>2266308874</v>
      </c>
      <c r="D152" t="str">
        <v>21159985</v>
      </c>
      <c r="E152" s="9">
        <f t="shared" si="46"/>
        <v>2266308874</v>
      </c>
      <c r="F152" s="9">
        <f t="shared" si="47"/>
        <v>21159985</v>
      </c>
      <c r="G152" s="9">
        <f t="shared" si="48"/>
        <v>2287468858</v>
      </c>
      <c r="I152">
        <f t="shared" si="49"/>
        <v>4052965876</v>
      </c>
      <c r="J152">
        <f t="shared" si="50"/>
        <v>4074125860</v>
      </c>
    </row>
    <row r="153" spans="1:10">
      <c r="A153" s="3" t="s">
        <v>166</v>
      </c>
      <c r="B153" t="str" cm="1">
        <f t="array" ref="B153:D153">_xlfn.TEXTSPLIT(A153," ")</f>
        <v>2226309992</v>
      </c>
      <c r="C153" t="str">
        <v>2287468859</v>
      </c>
      <c r="D153" t="str">
        <v>226143980</v>
      </c>
      <c r="E153" s="9">
        <f t="shared" si="46"/>
        <v>2287468859</v>
      </c>
      <c r="F153" s="9">
        <f t="shared" si="47"/>
        <v>226143980</v>
      </c>
      <c r="G153" s="9">
        <f t="shared" si="48"/>
        <v>2513612838</v>
      </c>
      <c r="I153">
        <f t="shared" si="49"/>
        <v>2226309992</v>
      </c>
      <c r="J153">
        <f t="shared" si="50"/>
        <v>2452453971</v>
      </c>
    </row>
    <row r="154" spans="1:10">
      <c r="A154" s="3" t="s">
        <v>167</v>
      </c>
      <c r="B154" t="str" cm="1">
        <f t="array" ref="B154:D154">_xlfn.TEXTSPLIT(A154," ")</f>
        <v>0</v>
      </c>
      <c r="C154" t="str">
        <v>248145132</v>
      </c>
      <c r="D154" t="str">
        <v>19014508</v>
      </c>
      <c r="E154" s="9">
        <f t="shared" si="46"/>
        <v>248145132</v>
      </c>
      <c r="F154" s="9">
        <f t="shared" si="47"/>
        <v>19014508</v>
      </c>
      <c r="G154" s="9">
        <f t="shared" si="48"/>
        <v>267159639</v>
      </c>
      <c r="I154">
        <f t="shared" si="49"/>
        <v>0</v>
      </c>
      <c r="J154">
        <f t="shared" si="50"/>
        <v>19014507</v>
      </c>
    </row>
    <row r="155" spans="1:10">
      <c r="A155" s="3" t="s">
        <v>168</v>
      </c>
      <c r="B155" t="str" cm="1">
        <f t="array" ref="B155:D155">_xlfn.TEXTSPLIT(A155," ")</f>
        <v>3685549663</v>
      </c>
      <c r="C155" t="str">
        <v>2513612839</v>
      </c>
      <c r="D155" t="str">
        <v>182337844</v>
      </c>
      <c r="E155" s="9">
        <f t="shared" si="46"/>
        <v>2513612839</v>
      </c>
      <c r="F155" s="9">
        <f t="shared" si="47"/>
        <v>182337844</v>
      </c>
      <c r="G155" s="9">
        <f t="shared" si="48"/>
        <v>2695950682</v>
      </c>
      <c r="I155">
        <f t="shared" si="49"/>
        <v>3685549663</v>
      </c>
      <c r="J155">
        <f t="shared" si="50"/>
        <v>3867887506</v>
      </c>
    </row>
    <row r="156" spans="1:10">
      <c r="A156" s="3" t="s">
        <v>169</v>
      </c>
      <c r="B156" t="str" cm="1">
        <f t="array" ref="B156:D156">_xlfn.TEXTSPLIT(A156," ")</f>
        <v>2857453091</v>
      </c>
      <c r="C156" t="str">
        <v>3351556136</v>
      </c>
      <c r="D156" t="str">
        <v>90385414</v>
      </c>
      <c r="E156" s="9">
        <f t="shared" si="46"/>
        <v>3351556136</v>
      </c>
      <c r="F156" s="9">
        <f t="shared" si="47"/>
        <v>90385414</v>
      </c>
      <c r="G156" s="9">
        <f t="shared" si="48"/>
        <v>3441941549</v>
      </c>
      <c r="I156">
        <f t="shared" si="49"/>
        <v>2857453091</v>
      </c>
      <c r="J156">
        <f t="shared" si="50"/>
        <v>2947838504</v>
      </c>
    </row>
    <row r="157" spans="1:10">
      <c r="A157" s="3" t="s">
        <v>170</v>
      </c>
      <c r="B157" t="str" cm="1">
        <f t="array" ref="B157:D157">_xlfn.TEXTSPLIT(A157," ")</f>
        <v>1139702249</v>
      </c>
      <c r="C157" t="str">
        <v>193653773</v>
      </c>
      <c r="D157" t="str">
        <v>54491359</v>
      </c>
      <c r="E157" s="9">
        <f t="shared" si="46"/>
        <v>193653773</v>
      </c>
      <c r="F157" s="9">
        <f t="shared" si="47"/>
        <v>54491359</v>
      </c>
      <c r="G157" s="9">
        <f t="shared" si="48"/>
        <v>248145131</v>
      </c>
      <c r="I157">
        <f t="shared" si="49"/>
        <v>1139702249</v>
      </c>
      <c r="J157">
        <f t="shared" si="50"/>
        <v>1194193607</v>
      </c>
    </row>
    <row r="158" spans="1:10">
      <c r="A158" s="3" t="s">
        <v>171</v>
      </c>
      <c r="B158" t="str" cm="1">
        <f t="array" ref="B158:D158">_xlfn.TEXTSPLIT(A158," ")</f>
        <v>3913714511</v>
      </c>
      <c r="C158" t="str">
        <v>4128788830</v>
      </c>
      <c r="D158" t="str">
        <v>9057098</v>
      </c>
      <c r="E158" s="9">
        <f t="shared" si="46"/>
        <v>4128788830</v>
      </c>
      <c r="F158" s="9">
        <f t="shared" si="47"/>
        <v>9057098</v>
      </c>
      <c r="G158" s="9">
        <f t="shared" si="48"/>
        <v>4137845927</v>
      </c>
      <c r="I158">
        <f t="shared" si="49"/>
        <v>3913714511</v>
      </c>
      <c r="J158">
        <f t="shared" si="50"/>
        <v>3922771608</v>
      </c>
    </row>
    <row r="159" spans="1:10">
      <c r="A159" s="3" t="s">
        <v>172</v>
      </c>
      <c r="B159" s="9" t="str" cm="1">
        <f t="array" ref="B159:D159">_xlfn.TEXTSPLIT(A159," ")</f>
        <v>916232734</v>
      </c>
      <c r="C159" t="str">
        <v>1062194339</v>
      </c>
      <c r="D159" t="str">
        <v>223469515</v>
      </c>
      <c r="E159" s="9">
        <f t="shared" ref="E159" si="51">VALUE(C159)</f>
        <v>1062194339</v>
      </c>
      <c r="F159" s="9">
        <f t="shared" ref="F159" si="52">VALUE(D159)</f>
        <v>223469515</v>
      </c>
      <c r="G159" s="9">
        <f t="shared" ref="G159" si="53">E159+F159-1</f>
        <v>1285663853</v>
      </c>
      <c r="I159">
        <f t="shared" si="49"/>
        <v>916232734</v>
      </c>
      <c r="J159">
        <f t="shared" si="50"/>
        <v>1139702248</v>
      </c>
    </row>
    <row r="160" spans="1:10">
      <c r="A160" s="3" t="s">
        <v>173</v>
      </c>
      <c r="B160" t="str" cm="1">
        <f t="array" ref="B160:D160">_xlfn.TEXTSPLIT(A160," ")</f>
        <v>1615682848</v>
      </c>
      <c r="C160" t="str">
        <v>611313581</v>
      </c>
      <c r="D160" t="str">
        <v>263023761</v>
      </c>
      <c r="E160" s="9">
        <f t="shared" si="46"/>
        <v>611313581</v>
      </c>
      <c r="F160" s="9">
        <f t="shared" si="47"/>
        <v>263023761</v>
      </c>
      <c r="G160" s="9">
        <f t="shared" si="48"/>
        <v>874337341</v>
      </c>
      <c r="I160">
        <f t="shared" si="49"/>
        <v>1615682848</v>
      </c>
      <c r="J160">
        <f t="shared" si="50"/>
        <v>1878706608</v>
      </c>
    </row>
    <row r="161" spans="1:14">
      <c r="A161" s="3" t="s">
        <v>174</v>
      </c>
      <c r="B161" t="str" cm="1">
        <f t="array" ref="B161:D161">_xlfn.TEXTSPLIT(A161," ")</f>
        <v>693525683</v>
      </c>
      <c r="C161" t="str">
        <v>1362999153</v>
      </c>
      <c r="D161" t="str">
        <v>222707051</v>
      </c>
      <c r="E161" s="9">
        <f t="shared" si="46"/>
        <v>1362999153</v>
      </c>
      <c r="F161" s="9">
        <f t="shared" si="47"/>
        <v>222707051</v>
      </c>
      <c r="G161" s="9">
        <f t="shared" si="48"/>
        <v>1585706203</v>
      </c>
      <c r="I161">
        <f t="shared" si="49"/>
        <v>693525683</v>
      </c>
      <c r="J161">
        <f t="shared" si="50"/>
        <v>916232733</v>
      </c>
    </row>
    <row r="162" spans="1:14">
      <c r="A162" s="3" t="s">
        <v>175</v>
      </c>
      <c r="B162" t="str" cm="1">
        <f t="array" ref="B162:D162">_xlfn.TEXTSPLIT(A162," ")</f>
        <v>3519831436</v>
      </c>
      <c r="C162" t="str">
        <v>3703760610</v>
      </c>
      <c r="D162" t="str">
        <v>66149622</v>
      </c>
      <c r="E162" s="9">
        <f t="shared" si="46"/>
        <v>3703760610</v>
      </c>
      <c r="F162" s="9">
        <f t="shared" si="47"/>
        <v>66149622</v>
      </c>
      <c r="G162" s="9">
        <f t="shared" si="48"/>
        <v>3769910231</v>
      </c>
      <c r="I162">
        <f t="shared" si="49"/>
        <v>3519831436</v>
      </c>
      <c r="J162">
        <f>I162+F162-1</f>
        <v>3585981057</v>
      </c>
    </row>
    <row r="163" spans="1:14">
      <c r="A163" s="3"/>
    </row>
    <row r="164" spans="1:14">
      <c r="A164" s="3" t="s">
        <v>23</v>
      </c>
      <c r="E164" t="s">
        <v>213</v>
      </c>
      <c r="I164" t="s">
        <v>214</v>
      </c>
    </row>
    <row r="165" spans="1:14">
      <c r="A165" s="3" t="s">
        <v>176</v>
      </c>
      <c r="B165" t="str" cm="1">
        <f t="array" ref="B165:D165">_xlfn.TEXTSPLIT(A165," ")</f>
        <v>3722067319</v>
      </c>
      <c r="C165" t="str">
        <v>3568864729</v>
      </c>
      <c r="D165" t="str">
        <v>46052123</v>
      </c>
      <c r="E165" s="9">
        <f t="shared" ref="E165" si="54">VALUE(C165)</f>
        <v>3568864729</v>
      </c>
      <c r="F165" s="9">
        <f t="shared" ref="F165" si="55">VALUE(D165)</f>
        <v>46052123</v>
      </c>
      <c r="G165" s="9">
        <f t="shared" ref="G165" si="56">E165+F165-1</f>
        <v>3614916851</v>
      </c>
      <c r="I165">
        <f>VALUE(B165)</f>
        <v>3722067319</v>
      </c>
      <c r="J165">
        <f>I165+F165-1</f>
        <v>3768119441</v>
      </c>
    </row>
    <row r="166" spans="1:14">
      <c r="A166" s="3" t="s">
        <v>177</v>
      </c>
      <c r="B166" t="str" cm="1">
        <f t="array" ref="B166:D166">_xlfn.TEXTSPLIT(A166," ")</f>
        <v>761939125</v>
      </c>
      <c r="C166" t="str">
        <v>1263883488</v>
      </c>
      <c r="D166" t="str">
        <v>182519766</v>
      </c>
      <c r="E166" s="9">
        <f t="shared" ref="E166:E170" si="57">VALUE(C166)</f>
        <v>1263883488</v>
      </c>
      <c r="F166" s="9">
        <f t="shared" ref="F166:F170" si="58">VALUE(D166)</f>
        <v>182519766</v>
      </c>
      <c r="G166" s="9">
        <f t="shared" ref="G166:G170" si="59">E166+F166-1</f>
        <v>1446403253</v>
      </c>
      <c r="I166">
        <f t="shared" ref="I166:I188" si="60">VALUE(B166)</f>
        <v>761939125</v>
      </c>
      <c r="J166">
        <f t="shared" ref="J166:J188" si="61">I166+F166-1</f>
        <v>944458890</v>
      </c>
    </row>
    <row r="167" spans="1:14">
      <c r="A167" s="3" t="s">
        <v>178</v>
      </c>
      <c r="B167" t="str" cm="1">
        <f t="array" ref="B167:D167">_xlfn.TEXTSPLIT(A167," ")</f>
        <v>3952597071</v>
      </c>
      <c r="C167" t="str">
        <v>3400791743</v>
      </c>
      <c r="D167" t="str">
        <v>168072986</v>
      </c>
      <c r="E167" s="9">
        <f t="shared" si="57"/>
        <v>3400791743</v>
      </c>
      <c r="F167" s="9">
        <f t="shared" si="58"/>
        <v>168072986</v>
      </c>
      <c r="G167" s="9">
        <f t="shared" si="59"/>
        <v>3568864728</v>
      </c>
      <c r="I167">
        <f t="shared" si="60"/>
        <v>3952597071</v>
      </c>
      <c r="J167">
        <f t="shared" si="61"/>
        <v>4120670056</v>
      </c>
    </row>
    <row r="168" spans="1:14">
      <c r="A168" s="3" t="s">
        <v>179</v>
      </c>
      <c r="B168" t="str" cm="1">
        <f t="array" ref="B168:D168">_xlfn.TEXTSPLIT(A168," ")</f>
        <v>1928058</v>
      </c>
      <c r="C168" t="str">
        <v>204065059</v>
      </c>
      <c r="D168" t="str">
        <v>218803536</v>
      </c>
      <c r="E168" s="9">
        <f t="shared" si="57"/>
        <v>204065059</v>
      </c>
      <c r="F168" s="9">
        <f t="shared" si="58"/>
        <v>218803536</v>
      </c>
      <c r="G168" s="9">
        <f t="shared" si="59"/>
        <v>422868594</v>
      </c>
      <c r="I168">
        <f t="shared" si="60"/>
        <v>1928058</v>
      </c>
      <c r="J168">
        <f t="shared" si="61"/>
        <v>220731593</v>
      </c>
    </row>
    <row r="169" spans="1:14">
      <c r="A169" s="3" t="s">
        <v>180</v>
      </c>
      <c r="B169" t="str" cm="1">
        <f t="array" ref="B169:D169">_xlfn.TEXTSPLIT(A169," ")</f>
        <v>1797120632</v>
      </c>
      <c r="C169" t="str">
        <v>863951513</v>
      </c>
      <c r="D169" t="str">
        <v>248903371</v>
      </c>
      <c r="E169" s="9">
        <f t="shared" si="57"/>
        <v>863951513</v>
      </c>
      <c r="F169" s="9">
        <f t="shared" si="58"/>
        <v>248903371</v>
      </c>
      <c r="G169" s="9">
        <f t="shared" si="59"/>
        <v>1112854883</v>
      </c>
      <c r="I169">
        <f t="shared" si="60"/>
        <v>1797120632</v>
      </c>
      <c r="J169">
        <f t="shared" si="61"/>
        <v>2046024002</v>
      </c>
    </row>
    <row r="170" spans="1:14">
      <c r="A170" s="3" t="s">
        <v>181</v>
      </c>
      <c r="B170" t="str" cm="1">
        <f t="array" ref="B170:D170">_xlfn.TEXTSPLIT(A170," ")</f>
        <v>3409129274</v>
      </c>
      <c r="C170" t="str">
        <v>3614916852</v>
      </c>
      <c r="D170" t="str">
        <v>109595510</v>
      </c>
      <c r="E170" s="9">
        <f t="shared" si="57"/>
        <v>3614916852</v>
      </c>
      <c r="F170" s="9">
        <f t="shared" si="58"/>
        <v>109595510</v>
      </c>
      <c r="G170" s="9">
        <f t="shared" si="59"/>
        <v>3724512361</v>
      </c>
      <c r="I170">
        <f t="shared" si="60"/>
        <v>3409129274</v>
      </c>
      <c r="J170">
        <f t="shared" si="61"/>
        <v>3518724783</v>
      </c>
      <c r="M170" t="s">
        <v>232</v>
      </c>
    </row>
    <row r="171" spans="1:14">
      <c r="A171" s="5" t="s">
        <v>182</v>
      </c>
      <c r="B171" s="8" t="str" cm="1">
        <f t="array" ref="B171:D171">_xlfn.TEXTSPLIT(A171," ")</f>
        <v>0</v>
      </c>
      <c r="C171" t="str">
        <v>1261955430</v>
      </c>
      <c r="D171" t="str">
        <v>1928058</v>
      </c>
      <c r="E171" s="6">
        <f>VALUE(C171)</f>
        <v>1261955430</v>
      </c>
      <c r="F171">
        <f>VALUE(D171)</f>
        <v>1928058</v>
      </c>
      <c r="G171" s="6">
        <f>E171+F171-1</f>
        <v>1263883487</v>
      </c>
      <c r="I171" s="7">
        <f t="shared" si="60"/>
        <v>0</v>
      </c>
      <c r="J171" s="7">
        <f t="shared" si="61"/>
        <v>1928057</v>
      </c>
      <c r="M171" s="10">
        <f>E171</f>
        <v>1261955430</v>
      </c>
      <c r="N171" s="10">
        <f>G171</f>
        <v>1263883487</v>
      </c>
    </row>
    <row r="172" spans="1:14">
      <c r="A172" s="3" t="s">
        <v>183</v>
      </c>
      <c r="B172" t="str" cm="1">
        <f t="array" ref="B172:D172">_xlfn.TEXTSPLIT(A172," ")</f>
        <v>3854871689</v>
      </c>
      <c r="C172" t="str">
        <v>2940386871</v>
      </c>
      <c r="D172" t="str">
        <v>97725382</v>
      </c>
      <c r="E172" s="9">
        <f t="shared" ref="E172" si="62">VALUE(C172)</f>
        <v>2940386871</v>
      </c>
      <c r="F172" s="9">
        <f t="shared" ref="F172" si="63">VALUE(D172)</f>
        <v>97725382</v>
      </c>
      <c r="G172" s="9">
        <f t="shared" ref="G172" si="64">E172+F172-1</f>
        <v>3038112252</v>
      </c>
      <c r="I172">
        <f t="shared" si="60"/>
        <v>3854871689</v>
      </c>
      <c r="J172">
        <f t="shared" si="61"/>
        <v>3952597070</v>
      </c>
    </row>
    <row r="173" spans="1:14">
      <c r="A173" s="3" t="s">
        <v>184</v>
      </c>
      <c r="B173" t="str" cm="1">
        <f t="array" ref="B173:D173">_xlfn.TEXTSPLIT(A173," ")</f>
        <v>3518724784</v>
      </c>
      <c r="C173" t="str">
        <v>3898809601</v>
      </c>
      <c r="D173" t="str">
        <v>159455982</v>
      </c>
      <c r="E173" s="9">
        <f t="shared" ref="E173:E188" si="65">VALUE(C173)</f>
        <v>3898809601</v>
      </c>
      <c r="F173" s="9">
        <f t="shared" ref="F173:F188" si="66">VALUE(D173)</f>
        <v>159455982</v>
      </c>
      <c r="G173" s="9">
        <f t="shared" ref="G173:G188" si="67">E173+F173-1</f>
        <v>4058265582</v>
      </c>
      <c r="I173">
        <f t="shared" si="60"/>
        <v>3518724784</v>
      </c>
      <c r="J173">
        <f t="shared" si="61"/>
        <v>3678180765</v>
      </c>
    </row>
    <row r="174" spans="1:14">
      <c r="A174" s="3" t="s">
        <v>185</v>
      </c>
      <c r="B174" t="str" cm="1">
        <f t="array" ref="B174:D174">_xlfn.TEXTSPLIT(A174," ")</f>
        <v>220731594</v>
      </c>
      <c r="C174" t="str">
        <v>1446403254</v>
      </c>
      <c r="D174" t="str">
        <v>100124613</v>
      </c>
      <c r="E174" s="9">
        <f t="shared" si="65"/>
        <v>1446403254</v>
      </c>
      <c r="F174" s="9">
        <f t="shared" si="66"/>
        <v>100124613</v>
      </c>
      <c r="G174" s="9">
        <f t="shared" si="67"/>
        <v>1546527866</v>
      </c>
      <c r="I174">
        <f t="shared" si="60"/>
        <v>220731594</v>
      </c>
      <c r="J174">
        <f t="shared" si="61"/>
        <v>320856206</v>
      </c>
    </row>
    <row r="175" spans="1:14">
      <c r="A175" s="3" t="s">
        <v>186</v>
      </c>
      <c r="B175" t="str" cm="1">
        <f t="array" ref="B175:D175">_xlfn.TEXTSPLIT(A175," ")</f>
        <v>944458891</v>
      </c>
      <c r="C175" t="str">
        <v>1813379640</v>
      </c>
      <c r="D175" t="str">
        <v>207908225</v>
      </c>
      <c r="E175" s="9">
        <f t="shared" si="65"/>
        <v>1813379640</v>
      </c>
      <c r="F175" s="9">
        <f t="shared" si="66"/>
        <v>207908225</v>
      </c>
      <c r="G175" s="9">
        <f t="shared" si="67"/>
        <v>2021287864</v>
      </c>
      <c r="I175">
        <f t="shared" si="60"/>
        <v>944458891</v>
      </c>
      <c r="J175">
        <f t="shared" si="61"/>
        <v>1152367115</v>
      </c>
    </row>
    <row r="176" spans="1:14">
      <c r="A176" s="3" t="s">
        <v>187</v>
      </c>
      <c r="B176" t="str" cm="1">
        <f t="array" ref="B176:D176">_xlfn.TEXTSPLIT(A176," ")</f>
        <v>3194065032</v>
      </c>
      <c r="C176" t="str">
        <v>4058265583</v>
      </c>
      <c r="D176" t="str">
        <v>117770911</v>
      </c>
      <c r="E176" s="9">
        <f t="shared" si="65"/>
        <v>4058265583</v>
      </c>
      <c r="F176" s="9">
        <f t="shared" si="66"/>
        <v>117770911</v>
      </c>
      <c r="G176" s="9">
        <f t="shared" si="67"/>
        <v>4176036493</v>
      </c>
      <c r="I176">
        <f t="shared" si="60"/>
        <v>3194065032</v>
      </c>
      <c r="J176">
        <f t="shared" si="61"/>
        <v>3311835942</v>
      </c>
    </row>
    <row r="177" spans="1:10">
      <c r="A177" s="3" t="s">
        <v>188</v>
      </c>
      <c r="B177" t="str" cm="1">
        <f t="array" ref="B177:D177">_xlfn.TEXTSPLIT(A177," ")</f>
        <v>3059317673</v>
      </c>
      <c r="C177" t="str">
        <v>3222157831</v>
      </c>
      <c r="D177" t="str">
        <v>134747359</v>
      </c>
      <c r="E177" s="9">
        <f t="shared" si="65"/>
        <v>3222157831</v>
      </c>
      <c r="F177" s="9">
        <f t="shared" si="66"/>
        <v>134747359</v>
      </c>
      <c r="G177" s="9">
        <f t="shared" si="67"/>
        <v>3356905189</v>
      </c>
      <c r="I177">
        <f t="shared" si="60"/>
        <v>3059317673</v>
      </c>
      <c r="J177">
        <f t="shared" si="61"/>
        <v>3194065031</v>
      </c>
    </row>
    <row r="178" spans="1:10">
      <c r="A178" s="3" t="s">
        <v>189</v>
      </c>
      <c r="B178" t="str" cm="1">
        <f t="array" ref="B178:D178">_xlfn.TEXTSPLIT(A178," ")</f>
        <v>3678180766</v>
      </c>
      <c r="C178" t="str">
        <v>3356905190</v>
      </c>
      <c r="D178" t="str">
        <v>43886553</v>
      </c>
      <c r="E178" s="9">
        <f t="shared" si="65"/>
        <v>3356905190</v>
      </c>
      <c r="F178" s="9">
        <f t="shared" si="66"/>
        <v>43886553</v>
      </c>
      <c r="G178" s="9">
        <f t="shared" si="67"/>
        <v>3400791742</v>
      </c>
      <c r="I178">
        <f t="shared" si="60"/>
        <v>3678180766</v>
      </c>
      <c r="J178">
        <f t="shared" si="61"/>
        <v>3722067318</v>
      </c>
    </row>
    <row r="179" spans="1:10">
      <c r="A179" s="3" t="s">
        <v>190</v>
      </c>
      <c r="B179" t="str" cm="1">
        <f t="array" ref="B179:D179">_xlfn.TEXTSPLIT(A179," ")</f>
        <v>3375153977</v>
      </c>
      <c r="C179" t="str">
        <v>3124864500</v>
      </c>
      <c r="D179" t="str">
        <v>33975297</v>
      </c>
      <c r="E179" s="9">
        <f t="shared" si="65"/>
        <v>3124864500</v>
      </c>
      <c r="F179" s="9">
        <f t="shared" si="66"/>
        <v>33975297</v>
      </c>
      <c r="G179" s="9">
        <f t="shared" si="67"/>
        <v>3158839796</v>
      </c>
      <c r="I179">
        <f t="shared" si="60"/>
        <v>3375153977</v>
      </c>
      <c r="J179">
        <f t="shared" si="61"/>
        <v>3409129273</v>
      </c>
    </row>
    <row r="180" spans="1:10">
      <c r="A180" s="3" t="s">
        <v>191</v>
      </c>
      <c r="B180" t="str" cm="1">
        <f t="array" ref="B180:D180">_xlfn.TEXTSPLIT(A180," ")</f>
        <v>2940386871</v>
      </c>
      <c r="C180" t="str">
        <v>4176036494</v>
      </c>
      <c r="D180" t="str">
        <v>118930802</v>
      </c>
      <c r="E180" s="9">
        <f t="shared" si="65"/>
        <v>4176036494</v>
      </c>
      <c r="F180" s="9">
        <f t="shared" si="66"/>
        <v>118930802</v>
      </c>
      <c r="G180" s="9">
        <f t="shared" si="67"/>
        <v>4294967295</v>
      </c>
      <c r="I180">
        <f t="shared" si="60"/>
        <v>2940386871</v>
      </c>
      <c r="J180">
        <f t="shared" si="61"/>
        <v>3059317672</v>
      </c>
    </row>
    <row r="181" spans="1:10">
      <c r="A181" s="3" t="s">
        <v>192</v>
      </c>
      <c r="B181" t="str" cm="1">
        <f t="array" ref="B181:D181">_xlfn.TEXTSPLIT(A181," ")</f>
        <v>1152367116</v>
      </c>
      <c r="C181" t="str">
        <v>2021287865</v>
      </c>
      <c r="D181" t="str">
        <v>24736138</v>
      </c>
      <c r="E181" s="9">
        <f t="shared" si="65"/>
        <v>2021287865</v>
      </c>
      <c r="F181" s="9">
        <f t="shared" si="66"/>
        <v>24736138</v>
      </c>
      <c r="G181" s="9">
        <f t="shared" si="67"/>
        <v>2046024002</v>
      </c>
      <c r="I181">
        <f t="shared" si="60"/>
        <v>1152367116</v>
      </c>
      <c r="J181">
        <f t="shared" si="61"/>
        <v>1177103253</v>
      </c>
    </row>
    <row r="182" spans="1:10">
      <c r="A182" s="3" t="s">
        <v>193</v>
      </c>
      <c r="B182" t="str" cm="1">
        <f t="array" ref="B182:D182">_xlfn.TEXTSPLIT(A182," ")</f>
        <v>3311835943</v>
      </c>
      <c r="C182" t="str">
        <v>3158839797</v>
      </c>
      <c r="D182" t="str">
        <v>63318034</v>
      </c>
      <c r="E182" s="9">
        <f t="shared" si="65"/>
        <v>3158839797</v>
      </c>
      <c r="F182" s="9">
        <f t="shared" si="66"/>
        <v>63318034</v>
      </c>
      <c r="G182" s="9">
        <f t="shared" si="67"/>
        <v>3222157830</v>
      </c>
      <c r="I182">
        <f t="shared" si="60"/>
        <v>3311835943</v>
      </c>
      <c r="J182">
        <f t="shared" si="61"/>
        <v>3375153976</v>
      </c>
    </row>
    <row r="183" spans="1:10">
      <c r="A183" s="3" t="s">
        <v>194</v>
      </c>
      <c r="B183" t="str" cm="1">
        <f t="array" ref="B183:D183">_xlfn.TEXTSPLIT(A183," ")</f>
        <v>320856207</v>
      </c>
      <c r="C183" t="str">
        <v>422868595</v>
      </c>
      <c r="D183" t="str">
        <v>441082918</v>
      </c>
      <c r="E183" s="9">
        <f t="shared" si="65"/>
        <v>422868595</v>
      </c>
      <c r="F183" s="9">
        <f t="shared" si="66"/>
        <v>441082918</v>
      </c>
      <c r="G183" s="9">
        <f t="shared" si="67"/>
        <v>863951512</v>
      </c>
      <c r="I183">
        <f t="shared" si="60"/>
        <v>320856207</v>
      </c>
      <c r="J183">
        <f t="shared" si="61"/>
        <v>761939124</v>
      </c>
    </row>
    <row r="184" spans="1:10">
      <c r="A184" s="3" t="s">
        <v>195</v>
      </c>
      <c r="B184" t="str" cm="1">
        <f t="array" ref="B184:D184">_xlfn.TEXTSPLIT(A184," ")</f>
        <v>1593055573</v>
      </c>
      <c r="C184" t="str">
        <v>0</v>
      </c>
      <c r="D184" t="str">
        <v>204065059</v>
      </c>
      <c r="E184" s="9">
        <f t="shared" si="65"/>
        <v>0</v>
      </c>
      <c r="F184" s="9">
        <f t="shared" si="66"/>
        <v>204065059</v>
      </c>
      <c r="G184" s="9">
        <f t="shared" si="67"/>
        <v>204065058</v>
      </c>
      <c r="I184">
        <f t="shared" si="60"/>
        <v>1593055573</v>
      </c>
      <c r="J184">
        <f t="shared" si="61"/>
        <v>1797120631</v>
      </c>
    </row>
    <row r="185" spans="1:10">
      <c r="A185" s="3" t="s">
        <v>196</v>
      </c>
      <c r="B185" t="str" cm="1">
        <f t="array" ref="B185:D185">_xlfn.TEXTSPLIT(A185," ")</f>
        <v>4120670057</v>
      </c>
      <c r="C185" t="str">
        <v>3724512362</v>
      </c>
      <c r="D185" t="str">
        <v>174297239</v>
      </c>
      <c r="E185" s="9">
        <f t="shared" si="65"/>
        <v>3724512362</v>
      </c>
      <c r="F185" s="9">
        <f t="shared" si="66"/>
        <v>174297239</v>
      </c>
      <c r="G185" s="9">
        <f t="shared" si="67"/>
        <v>3898809600</v>
      </c>
      <c r="I185">
        <f t="shared" si="60"/>
        <v>4120670057</v>
      </c>
      <c r="J185">
        <f t="shared" si="61"/>
        <v>4294967295</v>
      </c>
    </row>
    <row r="186" spans="1:10">
      <c r="A186" s="3" t="s">
        <v>197</v>
      </c>
      <c r="B186" t="str" cm="1">
        <f t="array" ref="B186:D186">_xlfn.TEXTSPLIT(A186," ")</f>
        <v>1177103254</v>
      </c>
      <c r="C186" t="str">
        <v>1112854884</v>
      </c>
      <c r="D186" t="str">
        <v>149100546</v>
      </c>
      <c r="E186" s="9">
        <f t="shared" si="65"/>
        <v>1112854884</v>
      </c>
      <c r="F186" s="9">
        <f t="shared" si="66"/>
        <v>149100546</v>
      </c>
      <c r="G186" s="9">
        <f t="shared" si="67"/>
        <v>1261955429</v>
      </c>
      <c r="I186">
        <f t="shared" si="60"/>
        <v>1177103254</v>
      </c>
      <c r="J186">
        <f t="shared" si="61"/>
        <v>1326203799</v>
      </c>
    </row>
    <row r="187" spans="1:10">
      <c r="A187" s="3" t="s">
        <v>198</v>
      </c>
      <c r="B187" t="str" cm="1">
        <f t="array" ref="B187:D187">_xlfn.TEXTSPLIT(A187," ")</f>
        <v>1326203800</v>
      </c>
      <c r="C187" t="str">
        <v>1546527867</v>
      </c>
      <c r="D187" t="str">
        <v>266851773</v>
      </c>
      <c r="E187" s="9">
        <f t="shared" si="65"/>
        <v>1546527867</v>
      </c>
      <c r="F187" s="9">
        <f t="shared" si="66"/>
        <v>266851773</v>
      </c>
      <c r="G187" s="9">
        <f t="shared" si="67"/>
        <v>1813379639</v>
      </c>
      <c r="I187">
        <f t="shared" si="60"/>
        <v>1326203800</v>
      </c>
      <c r="J187">
        <f t="shared" si="61"/>
        <v>1593055572</v>
      </c>
    </row>
    <row r="188" spans="1:10">
      <c r="A188" s="3" t="s">
        <v>199</v>
      </c>
      <c r="B188" t="str" cm="1">
        <f t="array" ref="B188:D188">_xlfn.TEXTSPLIT(A188," ")</f>
        <v>3768119442</v>
      </c>
      <c r="C188" t="str">
        <v>3038112253</v>
      </c>
      <c r="D188" t="str">
        <v>86752247</v>
      </c>
      <c r="E188" s="9">
        <f t="shared" si="65"/>
        <v>3038112253</v>
      </c>
      <c r="F188" s="9">
        <f t="shared" si="66"/>
        <v>86752247</v>
      </c>
      <c r="G188" s="9">
        <f t="shared" si="67"/>
        <v>3124864499</v>
      </c>
      <c r="I188">
        <f t="shared" si="60"/>
        <v>3768119442</v>
      </c>
      <c r="J188">
        <f t="shared" si="61"/>
        <v>3854871688</v>
      </c>
    </row>
    <row r="189" spans="1:10">
      <c r="A189" s="1"/>
    </row>
    <row r="190" spans="1:10">
      <c r="A190" s="1"/>
    </row>
    <row r="191" spans="1:10">
      <c r="A191" s="1"/>
    </row>
    <row r="192" spans="1:10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6932F-A676-484C-BE66-A7B8E41CA20D}">
  <sheetPr codeName="Sheet4"/>
  <dimension ref="A1:Y970"/>
  <sheetViews>
    <sheetView workbookViewId="0">
      <selection activeCell="M7" sqref="M7:N7"/>
    </sheetView>
  </sheetViews>
  <sheetFormatPr defaultRowHeight="15"/>
  <cols>
    <col min="1" max="1" width="38.5703125" bestFit="1" customWidth="1"/>
    <col min="2" max="7" width="12.7109375" customWidth="1"/>
    <col min="8" max="12" width="11" bestFit="1" customWidth="1"/>
    <col min="13" max="14" width="14.140625" customWidth="1"/>
    <col min="16" max="16" width="16" customWidth="1"/>
    <col min="17" max="17" width="10" bestFit="1" customWidth="1"/>
    <col min="18" max="18" width="13.140625" customWidth="1"/>
    <col min="20" max="20" width="11.140625" customWidth="1"/>
    <col min="22" max="22" width="12.140625" customWidth="1"/>
    <col min="24" max="24" width="11.85546875" customWidth="1"/>
  </cols>
  <sheetData>
    <row r="1" spans="1:16">
      <c r="A1" s="3" t="s">
        <v>229</v>
      </c>
      <c r="B1" s="3" t="s">
        <v>26</v>
      </c>
    </row>
    <row r="2" spans="1:16">
      <c r="A2" s="3"/>
      <c r="P2" s="3" t="s">
        <v>200</v>
      </c>
    </row>
    <row r="3" spans="1:16">
      <c r="A3" s="3" t="s">
        <v>1</v>
      </c>
      <c r="E3" t="s">
        <v>220</v>
      </c>
      <c r="I3" t="s">
        <v>219</v>
      </c>
      <c r="P3" s="3" t="s">
        <v>201</v>
      </c>
    </row>
    <row r="4" spans="1:16">
      <c r="A4" s="3" t="s">
        <v>27</v>
      </c>
      <c r="B4" t="str" cm="1">
        <f t="array" ref="B4:D4">_xlfn.TEXTSPLIT(A4," ")</f>
        <v>3272284283</v>
      </c>
      <c r="C4" t="str">
        <v>2724782980</v>
      </c>
      <c r="D4" t="str">
        <v>1022683013</v>
      </c>
      <c r="E4" s="9">
        <f t="shared" ref="E4:F18" si="0">VALUE(C4)</f>
        <v>2724782980</v>
      </c>
      <c r="F4" s="9">
        <f t="shared" si="0"/>
        <v>1022683013</v>
      </c>
      <c r="G4" s="9">
        <f t="shared" ref="G4:G18" si="1">E4+F4-1</f>
        <v>3747465992</v>
      </c>
      <c r="I4">
        <f>VALUE(B4)</f>
        <v>3272284283</v>
      </c>
      <c r="J4">
        <f t="shared" ref="J4:J18" si="2">I4+F4-1</f>
        <v>4294967295</v>
      </c>
      <c r="M4" t="s">
        <v>226</v>
      </c>
      <c r="P4" s="3" t="s">
        <v>202</v>
      </c>
    </row>
    <row r="5" spans="1:16">
      <c r="A5" s="3" t="s">
        <v>28</v>
      </c>
      <c r="B5" t="str" cm="1">
        <f t="array" ref="B5:D5">_xlfn.TEXTSPLIT(A5," ")</f>
        <v>138187491</v>
      </c>
      <c r="C5" t="str">
        <v>4195038636</v>
      </c>
      <c r="D5" t="str">
        <v>99928660</v>
      </c>
      <c r="E5" s="9">
        <f t="shared" si="0"/>
        <v>4195038636</v>
      </c>
      <c r="F5" s="9">
        <f t="shared" si="0"/>
        <v>99928660</v>
      </c>
      <c r="G5" s="9">
        <f t="shared" si="1"/>
        <v>4294967295</v>
      </c>
      <c r="I5" s="15">
        <f t="shared" ref="I5:I18" si="3">VALUE(B5)</f>
        <v>138187491</v>
      </c>
      <c r="J5" s="22">
        <f t="shared" si="2"/>
        <v>238116150</v>
      </c>
      <c r="K5">
        <v>10055892</v>
      </c>
      <c r="L5">
        <v>147214248</v>
      </c>
      <c r="M5" s="8">
        <f>E5</f>
        <v>4195038636</v>
      </c>
      <c r="N5" s="8">
        <f>M5+L5-K5</f>
        <v>4332196992</v>
      </c>
      <c r="P5" s="3" t="s">
        <v>203</v>
      </c>
    </row>
    <row r="6" spans="1:16">
      <c r="A6" s="3" t="s">
        <v>29</v>
      </c>
      <c r="B6" t="str" cm="1">
        <f t="array" ref="B6:D6">_xlfn.TEXTSPLIT(A6," ")</f>
        <v>2359623759</v>
      </c>
      <c r="C6" t="str">
        <v>797621236</v>
      </c>
      <c r="D6" t="str">
        <v>127984779</v>
      </c>
      <c r="E6" s="9">
        <f t="shared" si="0"/>
        <v>797621236</v>
      </c>
      <c r="F6" s="9">
        <f t="shared" si="0"/>
        <v>127984779</v>
      </c>
      <c r="G6" s="9">
        <f t="shared" si="1"/>
        <v>925606014</v>
      </c>
      <c r="I6">
        <f t="shared" si="3"/>
        <v>2359623759</v>
      </c>
      <c r="J6">
        <f t="shared" si="2"/>
        <v>2487608537</v>
      </c>
      <c r="P6" s="3" t="s">
        <v>204</v>
      </c>
    </row>
    <row r="7" spans="1:16">
      <c r="A7" s="3" t="s">
        <v>30</v>
      </c>
      <c r="B7" t="str" cm="1">
        <f t="array" ref="B7:D7">_xlfn.TEXTSPLIT(A7," ")</f>
        <v>662451929</v>
      </c>
      <c r="C7" t="str">
        <v>2224466386</v>
      </c>
      <c r="D7" t="str">
        <v>266466256</v>
      </c>
      <c r="E7" s="9">
        <f t="shared" si="0"/>
        <v>2224466386</v>
      </c>
      <c r="F7" s="9">
        <f t="shared" si="0"/>
        <v>266466256</v>
      </c>
      <c r="G7" s="9">
        <f t="shared" si="1"/>
        <v>2490932641</v>
      </c>
      <c r="I7" s="20">
        <f t="shared" si="3"/>
        <v>662451929</v>
      </c>
      <c r="J7" s="20">
        <f t="shared" si="2"/>
        <v>928918184</v>
      </c>
      <c r="K7">
        <v>868286696</v>
      </c>
      <c r="L7">
        <v>869238952</v>
      </c>
      <c r="M7" s="8">
        <f>E7+(K7-I7)</f>
        <v>2430301153</v>
      </c>
      <c r="N7" s="8">
        <f>M7+L7-K7</f>
        <v>2431253409</v>
      </c>
      <c r="P7" s="3" t="s">
        <v>205</v>
      </c>
    </row>
    <row r="8" spans="1:16">
      <c r="A8" s="3" t="s">
        <v>31</v>
      </c>
      <c r="B8" t="str" cm="1">
        <f t="array" ref="B8:D8">_xlfn.TEXTSPLIT(A8," ")</f>
        <v>928918185</v>
      </c>
      <c r="C8" t="str">
        <v>714355413</v>
      </c>
      <c r="D8" t="str">
        <v>83265823</v>
      </c>
      <c r="E8" s="9">
        <f t="shared" si="0"/>
        <v>714355413</v>
      </c>
      <c r="F8" s="9">
        <f t="shared" si="0"/>
        <v>83265823</v>
      </c>
      <c r="G8" s="9">
        <f t="shared" si="1"/>
        <v>797621235</v>
      </c>
      <c r="I8">
        <f t="shared" si="3"/>
        <v>928918185</v>
      </c>
      <c r="J8">
        <f t="shared" si="2"/>
        <v>1012184007</v>
      </c>
      <c r="P8" s="3" t="s">
        <v>206</v>
      </c>
    </row>
    <row r="9" spans="1:16">
      <c r="A9" s="3" t="s">
        <v>32</v>
      </c>
      <c r="B9" t="str" cm="1">
        <f t="array" ref="B9:D9">_xlfn.TEXTSPLIT(A9," ")</f>
        <v>1012184008</v>
      </c>
      <c r="C9" t="str">
        <v>3891516474</v>
      </c>
      <c r="D9" t="str">
        <v>303522162</v>
      </c>
      <c r="E9" s="9">
        <f t="shared" si="0"/>
        <v>3891516474</v>
      </c>
      <c r="F9" s="9">
        <f t="shared" si="0"/>
        <v>303522162</v>
      </c>
      <c r="G9" s="9">
        <f t="shared" si="1"/>
        <v>4195038635</v>
      </c>
      <c r="I9" s="20">
        <f t="shared" si="3"/>
        <v>1012184008</v>
      </c>
      <c r="J9" s="20">
        <f t="shared" si="2"/>
        <v>1315706169</v>
      </c>
      <c r="K9" s="21">
        <v>1196986697</v>
      </c>
      <c r="L9">
        <v>1199154072</v>
      </c>
      <c r="M9" s="17">
        <f>E9+(K9-I9)</f>
        <v>4076319163</v>
      </c>
      <c r="N9" s="8">
        <f>M9+L9-K9</f>
        <v>4078486538</v>
      </c>
      <c r="P9" s="3" t="s">
        <v>207</v>
      </c>
    </row>
    <row r="10" spans="1:16">
      <c r="A10" s="3" t="s">
        <v>33</v>
      </c>
      <c r="B10" t="str" cm="1">
        <f t="array" ref="B10:D10">_xlfn.TEXTSPLIT(A10," ")</f>
        <v>3063776460</v>
      </c>
      <c r="C10" t="str">
        <v>1098322140</v>
      </c>
      <c r="D10" t="str">
        <v>208507823</v>
      </c>
      <c r="E10" s="9">
        <f t="shared" si="0"/>
        <v>1098322140</v>
      </c>
      <c r="F10" s="9">
        <f t="shared" si="0"/>
        <v>208507823</v>
      </c>
      <c r="G10" s="9">
        <f t="shared" si="1"/>
        <v>1306829962</v>
      </c>
      <c r="I10" s="9">
        <f t="shared" si="3"/>
        <v>3063776460</v>
      </c>
      <c r="J10" s="9">
        <f t="shared" si="2"/>
        <v>3272284282</v>
      </c>
      <c r="K10">
        <v>1222384796</v>
      </c>
      <c r="L10">
        <v>1299312684</v>
      </c>
      <c r="M10" s="8">
        <f>E9+(K10-I9)</f>
        <v>4101717262</v>
      </c>
      <c r="N10" s="8">
        <f>M10+L10-K10</f>
        <v>4178645150</v>
      </c>
      <c r="P10" s="3" t="s">
        <v>208</v>
      </c>
    </row>
    <row r="11" spans="1:16">
      <c r="A11" s="3" t="s">
        <v>34</v>
      </c>
      <c r="B11" t="str" cm="1">
        <f t="array" ref="B11:D11">_xlfn.TEXTSPLIT(A11," ")</f>
        <v>2194238166</v>
      </c>
      <c r="C11" t="str">
        <v>1306829963</v>
      </c>
      <c r="D11" t="str">
        <v>50525692</v>
      </c>
      <c r="E11" s="9">
        <f t="shared" si="0"/>
        <v>1306829963</v>
      </c>
      <c r="F11" s="9">
        <f t="shared" si="0"/>
        <v>50525692</v>
      </c>
      <c r="G11" s="9">
        <f t="shared" si="1"/>
        <v>1357355654</v>
      </c>
      <c r="I11">
        <f t="shared" si="3"/>
        <v>2194238166</v>
      </c>
      <c r="J11">
        <f t="shared" si="2"/>
        <v>2244763857</v>
      </c>
      <c r="P11" s="3" t="s">
        <v>209</v>
      </c>
    </row>
    <row r="12" spans="1:16">
      <c r="A12" s="3" t="s">
        <v>35</v>
      </c>
      <c r="B12" t="str" cm="1">
        <f t="array" ref="B12:D12">_xlfn.TEXTSPLIT(A12," ")</f>
        <v>357106588</v>
      </c>
      <c r="C12" t="str">
        <v>2091837170</v>
      </c>
      <c r="D12" t="str">
        <v>132629216</v>
      </c>
      <c r="E12" s="9">
        <f t="shared" si="0"/>
        <v>2091837170</v>
      </c>
      <c r="F12" s="9">
        <f t="shared" si="0"/>
        <v>132629216</v>
      </c>
      <c r="G12" s="9">
        <f t="shared" si="1"/>
        <v>2224466385</v>
      </c>
      <c r="I12">
        <f t="shared" si="3"/>
        <v>357106588</v>
      </c>
      <c r="J12">
        <f t="shared" si="2"/>
        <v>489735803</v>
      </c>
    </row>
    <row r="13" spans="1:16">
      <c r="A13" s="3" t="s">
        <v>36</v>
      </c>
      <c r="B13" t="str" cm="1">
        <f t="array" ref="B13:D13">_xlfn.TEXTSPLIT(A13," ")</f>
        <v>2244763858</v>
      </c>
      <c r="C13" t="str">
        <v>2490932642</v>
      </c>
      <c r="D13" t="str">
        <v>114859901</v>
      </c>
      <c r="E13" s="9">
        <f t="shared" si="0"/>
        <v>2490932642</v>
      </c>
      <c r="F13" s="9">
        <f t="shared" si="0"/>
        <v>114859901</v>
      </c>
      <c r="G13" s="9">
        <f t="shared" si="1"/>
        <v>2605792542</v>
      </c>
      <c r="I13">
        <f t="shared" si="3"/>
        <v>2244763858</v>
      </c>
      <c r="J13">
        <f t="shared" si="2"/>
        <v>2359623758</v>
      </c>
    </row>
    <row r="14" spans="1:16">
      <c r="A14" s="3" t="s">
        <v>37</v>
      </c>
      <c r="B14" t="str" cm="1">
        <f t="array" ref="B14:D14">_xlfn.TEXTSPLIT(A14," ")</f>
        <v>2050187685</v>
      </c>
      <c r="C14" t="str">
        <v>3747465993</v>
      </c>
      <c r="D14" t="str">
        <v>144050481</v>
      </c>
      <c r="E14" s="9">
        <f t="shared" si="0"/>
        <v>3747465993</v>
      </c>
      <c r="F14" s="9">
        <f t="shared" si="0"/>
        <v>144050481</v>
      </c>
      <c r="G14" s="9">
        <f t="shared" si="1"/>
        <v>3891516473</v>
      </c>
      <c r="I14" s="20">
        <f t="shared" si="3"/>
        <v>2050187685</v>
      </c>
      <c r="J14" s="20">
        <f t="shared" si="2"/>
        <v>2194238165</v>
      </c>
      <c r="K14">
        <v>2182016273</v>
      </c>
      <c r="L14">
        <v>2186733562</v>
      </c>
      <c r="M14" s="8">
        <f>E14+(K14-I14)</f>
        <v>3879294581</v>
      </c>
      <c r="N14" s="8">
        <f>M14+L14-K14</f>
        <v>3884011870</v>
      </c>
    </row>
    <row r="15" spans="1:16">
      <c r="A15" s="3" t="s">
        <v>38</v>
      </c>
      <c r="B15" t="str" cm="1">
        <f t="array" ref="B15:D15">_xlfn.TEXTSPLIT(A15," ")</f>
        <v>489735804</v>
      </c>
      <c r="C15" t="str">
        <v>925606015</v>
      </c>
      <c r="D15" t="str">
        <v>172716125</v>
      </c>
      <c r="E15" s="9">
        <f t="shared" si="0"/>
        <v>925606015</v>
      </c>
      <c r="F15" s="9">
        <f t="shared" si="0"/>
        <v>172716125</v>
      </c>
      <c r="G15" s="9">
        <f t="shared" si="1"/>
        <v>1098322139</v>
      </c>
      <c r="I15">
        <f t="shared" si="3"/>
        <v>489735804</v>
      </c>
      <c r="J15">
        <f t="shared" si="2"/>
        <v>662451928</v>
      </c>
    </row>
    <row r="16" spans="1:16">
      <c r="A16" s="3" t="s">
        <v>39</v>
      </c>
      <c r="B16" t="str" cm="1">
        <f t="array" ref="B16:D16">_xlfn.TEXTSPLIT(A16," ")</f>
        <v>2487608538</v>
      </c>
      <c r="C16" t="str">
        <v>138187491</v>
      </c>
      <c r="D16" t="str">
        <v>576167922</v>
      </c>
      <c r="E16" s="9">
        <f t="shared" si="0"/>
        <v>138187491</v>
      </c>
      <c r="F16" s="9">
        <f t="shared" si="0"/>
        <v>576167922</v>
      </c>
      <c r="G16" s="9">
        <f t="shared" si="1"/>
        <v>714355412</v>
      </c>
      <c r="I16">
        <f t="shared" si="3"/>
        <v>2487608538</v>
      </c>
      <c r="J16">
        <f t="shared" si="2"/>
        <v>3063776459</v>
      </c>
    </row>
    <row r="17" spans="1:25">
      <c r="A17" s="3" t="s">
        <v>40</v>
      </c>
      <c r="B17" t="str" cm="1">
        <f t="array" ref="B17:D17">_xlfn.TEXTSPLIT(A17," ")</f>
        <v>238116151</v>
      </c>
      <c r="C17" t="str">
        <v>2605792543</v>
      </c>
      <c r="D17" t="str">
        <v>118990437</v>
      </c>
      <c r="E17" s="9">
        <f t="shared" si="0"/>
        <v>2605792543</v>
      </c>
      <c r="F17" s="9">
        <f t="shared" si="0"/>
        <v>118990437</v>
      </c>
      <c r="G17" s="9">
        <f t="shared" si="1"/>
        <v>2724782979</v>
      </c>
      <c r="I17">
        <f t="shared" si="3"/>
        <v>238116151</v>
      </c>
      <c r="J17">
        <f t="shared" si="2"/>
        <v>357106587</v>
      </c>
    </row>
    <row r="18" spans="1:25">
      <c r="A18" s="3" t="s">
        <v>41</v>
      </c>
      <c r="B18" t="str" cm="1">
        <f t="array" ref="B18:D18">_xlfn.TEXTSPLIT(A18," ")</f>
        <v>1315706170</v>
      </c>
      <c r="C18" t="str">
        <v>1357355655</v>
      </c>
      <c r="D18" t="str">
        <v>734481515</v>
      </c>
      <c r="E18" s="9">
        <f t="shared" si="0"/>
        <v>1357355655</v>
      </c>
      <c r="F18" s="9">
        <f t="shared" si="0"/>
        <v>734481515</v>
      </c>
      <c r="G18" s="9">
        <f t="shared" si="1"/>
        <v>2091837169</v>
      </c>
      <c r="I18" s="9">
        <f t="shared" si="3"/>
        <v>1315706170</v>
      </c>
      <c r="J18" s="9">
        <f t="shared" si="2"/>
        <v>2050187684</v>
      </c>
      <c r="P18">
        <v>2494933545</v>
      </c>
      <c r="Q18" t="str">
        <f>IF(AND(P18&gt;=M5,P18&lt;=N5),"yes", "n")</f>
        <v>n</v>
      </c>
      <c r="R18">
        <v>2494933545</v>
      </c>
      <c r="S18" t="str">
        <f>IF(AND(R18&gt;=M7,R18&lt;=N7),"yes", "n")</f>
        <v>n</v>
      </c>
      <c r="T18">
        <v>2494933545</v>
      </c>
      <c r="U18" t="str">
        <f>IF(AND(T18&gt;=M9,T18&lt;=N9),"yes", "n")</f>
        <v>n</v>
      </c>
      <c r="V18">
        <v>2494933545</v>
      </c>
      <c r="W18" t="str">
        <f>IF(AND(V18&gt;=M10,V18&lt;=N10),"yes", "n")</f>
        <v>n</v>
      </c>
      <c r="X18">
        <v>2494933545</v>
      </c>
      <c r="Y18" t="str">
        <f>IF(AND(X18&gt;=M14,X18&lt;=N14),"yes", "n")</f>
        <v>n</v>
      </c>
    </row>
    <row r="19" spans="1:25">
      <c r="A19" s="3"/>
      <c r="C19" s="4"/>
      <c r="P19">
        <v>159314859</v>
      </c>
      <c r="Q19" t="str">
        <f t="shared" ref="Q19:Q37" si="4">IF(AND(P19&gt;=M6,P19&lt;=N6),"yes", "n")</f>
        <v>n</v>
      </c>
      <c r="R19">
        <v>159314859</v>
      </c>
      <c r="S19" t="str">
        <f t="shared" ref="S19:S37" si="5">IF(AND(R19&gt;=M8,R19&lt;=N8),"yes", "n")</f>
        <v>n</v>
      </c>
      <c r="T19">
        <v>159314859</v>
      </c>
      <c r="U19" t="str">
        <f t="shared" ref="U19:U37" si="6">IF(AND(T19&gt;=M10,T19&lt;=N10),"yes", "n")</f>
        <v>n</v>
      </c>
      <c r="V19">
        <v>159314859</v>
      </c>
      <c r="W19" t="str">
        <f t="shared" ref="W19:W37" si="7">IF(AND(V19&gt;=M11,V19&lt;=N11),"yes", "n")</f>
        <v>n</v>
      </c>
      <c r="X19">
        <v>159314859</v>
      </c>
      <c r="Y19" t="str">
        <f t="shared" ref="Y19:Y37" si="8">IF(AND(X19&gt;=M15,X19&lt;=N15),"yes", "n")</f>
        <v>n</v>
      </c>
    </row>
    <row r="20" spans="1:25">
      <c r="A20" s="3" t="s">
        <v>4</v>
      </c>
      <c r="C20" s="4"/>
      <c r="E20" t="s">
        <v>219</v>
      </c>
      <c r="I20" t="s">
        <v>218</v>
      </c>
      <c r="P20">
        <v>4045092792</v>
      </c>
      <c r="Q20" t="str">
        <f t="shared" si="4"/>
        <v>n</v>
      </c>
      <c r="R20">
        <v>4045092792</v>
      </c>
      <c r="S20" t="str">
        <f t="shared" si="5"/>
        <v>n</v>
      </c>
      <c r="T20">
        <v>4045092792</v>
      </c>
      <c r="U20" t="str">
        <f t="shared" si="6"/>
        <v>n</v>
      </c>
      <c r="V20">
        <v>4045092792</v>
      </c>
      <c r="W20" t="str">
        <f t="shared" si="7"/>
        <v>n</v>
      </c>
      <c r="X20">
        <v>4045092792</v>
      </c>
      <c r="Y20" t="str">
        <f t="shared" si="8"/>
        <v>n</v>
      </c>
    </row>
    <row r="21" spans="1:25">
      <c r="A21" s="3" t="s">
        <v>42</v>
      </c>
      <c r="B21" t="str" cm="1">
        <f t="array" ref="B21:D21">_xlfn.TEXTSPLIT(A21," ")</f>
        <v>4265669768</v>
      </c>
      <c r="C21" t="str">
        <v>2142212766</v>
      </c>
      <c r="D21" t="str">
        <v>29297528</v>
      </c>
      <c r="E21" s="9">
        <f t="shared" ref="E21:F32" si="9">VALUE(C21)</f>
        <v>2142212766</v>
      </c>
      <c r="F21" s="9">
        <f t="shared" si="9"/>
        <v>29297528</v>
      </c>
      <c r="G21" s="9">
        <f t="shared" ref="G21:G32" si="10">E21+F21-1</f>
        <v>2171510293</v>
      </c>
      <c r="I21">
        <f>VALUE(B21)</f>
        <v>4265669768</v>
      </c>
      <c r="J21">
        <f t="shared" ref="J21:J32" si="11">I21+F21-1</f>
        <v>4294967295</v>
      </c>
      <c r="M21" t="s">
        <v>225</v>
      </c>
      <c r="P21">
        <v>172620202</v>
      </c>
      <c r="Q21" t="str">
        <f t="shared" si="4"/>
        <v>n</v>
      </c>
      <c r="R21">
        <v>172620202</v>
      </c>
      <c r="S21" t="str">
        <f t="shared" si="5"/>
        <v>n</v>
      </c>
      <c r="T21">
        <v>172620202</v>
      </c>
      <c r="U21" t="str">
        <f t="shared" si="6"/>
        <v>n</v>
      </c>
      <c r="V21">
        <v>172620202</v>
      </c>
      <c r="W21" t="str">
        <f t="shared" si="7"/>
        <v>n</v>
      </c>
      <c r="X21">
        <v>172620202</v>
      </c>
      <c r="Y21" t="str">
        <f t="shared" si="8"/>
        <v>n</v>
      </c>
    </row>
    <row r="22" spans="1:25">
      <c r="A22" s="3" t="s">
        <v>43</v>
      </c>
      <c r="B22" t="str" cm="1">
        <f t="array" ref="B22:D22">_xlfn.TEXTSPLIT(A22," ")</f>
        <v>2030756625</v>
      </c>
      <c r="C22" t="str">
        <v>2171510294</v>
      </c>
      <c r="D22" t="str">
        <v>69737894</v>
      </c>
      <c r="E22" s="9">
        <f t="shared" si="9"/>
        <v>2171510294</v>
      </c>
      <c r="F22" s="9">
        <f t="shared" si="9"/>
        <v>69737894</v>
      </c>
      <c r="G22" s="9">
        <f t="shared" si="10"/>
        <v>2241248187</v>
      </c>
      <c r="I22" s="20">
        <f t="shared" ref="I22:I32" si="12">VALUE(B22)</f>
        <v>2030756625</v>
      </c>
      <c r="J22" s="20">
        <f t="shared" si="11"/>
        <v>2100494518</v>
      </c>
      <c r="K22">
        <v>2041262604</v>
      </c>
      <c r="L22">
        <v>2045979893</v>
      </c>
      <c r="M22" s="8">
        <f>E22+(K22-I22)</f>
        <v>2182016273</v>
      </c>
      <c r="N22" s="8">
        <f>M22+L22-K22</f>
        <v>2186733562</v>
      </c>
      <c r="P22">
        <v>928898138</v>
      </c>
      <c r="Q22" t="str">
        <f t="shared" si="4"/>
        <v>n</v>
      </c>
      <c r="R22">
        <v>928898138</v>
      </c>
      <c r="S22" t="str">
        <f t="shared" si="5"/>
        <v>n</v>
      </c>
      <c r="T22">
        <v>928898138</v>
      </c>
      <c r="U22" t="str">
        <f t="shared" si="6"/>
        <v>n</v>
      </c>
      <c r="V22">
        <v>928898138</v>
      </c>
      <c r="W22" t="str">
        <f t="shared" si="7"/>
        <v>n</v>
      </c>
      <c r="X22">
        <v>928898138</v>
      </c>
      <c r="Y22" t="str">
        <f t="shared" si="8"/>
        <v>n</v>
      </c>
    </row>
    <row r="23" spans="1:25">
      <c r="A23" s="3" t="s">
        <v>44</v>
      </c>
      <c r="B23" t="str" cm="1">
        <f t="array" ref="B23:D23">_xlfn.TEXTSPLIT(A23," ")</f>
        <v>3038084234</v>
      </c>
      <c r="C23" t="str">
        <v>3411621093</v>
      </c>
      <c r="D23" t="str">
        <v>262803613</v>
      </c>
      <c r="E23" s="9">
        <f t="shared" si="9"/>
        <v>3411621093</v>
      </c>
      <c r="F23" s="9">
        <f t="shared" si="9"/>
        <v>262803613</v>
      </c>
      <c r="G23" s="9">
        <f t="shared" si="10"/>
        <v>3674424705</v>
      </c>
      <c r="I23">
        <f t="shared" si="12"/>
        <v>3038084234</v>
      </c>
      <c r="J23">
        <f t="shared" si="11"/>
        <v>3300887846</v>
      </c>
      <c r="P23">
        <v>554061882</v>
      </c>
      <c r="Q23" t="str">
        <f t="shared" si="4"/>
        <v>n</v>
      </c>
      <c r="R23">
        <v>554061882</v>
      </c>
      <c r="S23" t="str">
        <f t="shared" si="5"/>
        <v>n</v>
      </c>
      <c r="T23">
        <v>554061882</v>
      </c>
      <c r="U23" t="str">
        <f t="shared" si="6"/>
        <v>n</v>
      </c>
      <c r="V23">
        <v>554061882</v>
      </c>
      <c r="W23" t="str">
        <f t="shared" si="7"/>
        <v>n</v>
      </c>
      <c r="X23">
        <v>554061882</v>
      </c>
      <c r="Y23" t="str">
        <f t="shared" si="8"/>
        <v>n</v>
      </c>
    </row>
    <row r="24" spans="1:25">
      <c r="A24" s="3" t="s">
        <v>45</v>
      </c>
      <c r="B24" t="str" cm="1">
        <f t="array" ref="B24:D24">_xlfn.TEXTSPLIT(A24," ")</f>
        <v>2410534622</v>
      </c>
      <c r="C24" t="str">
        <v>3266307064</v>
      </c>
      <c r="D24" t="str">
        <v>145314029</v>
      </c>
      <c r="E24" s="9">
        <f t="shared" si="9"/>
        <v>3266307064</v>
      </c>
      <c r="F24" s="9">
        <f t="shared" si="9"/>
        <v>145314029</v>
      </c>
      <c r="G24" s="9">
        <f t="shared" si="10"/>
        <v>3411621092</v>
      </c>
      <c r="I24">
        <f t="shared" si="12"/>
        <v>2410534622</v>
      </c>
      <c r="J24">
        <f t="shared" si="11"/>
        <v>2555848650</v>
      </c>
      <c r="P24">
        <v>2740120981</v>
      </c>
      <c r="Q24" t="str">
        <f t="shared" si="4"/>
        <v>n</v>
      </c>
      <c r="R24">
        <v>2740120981</v>
      </c>
      <c r="S24" t="str">
        <f t="shared" si="5"/>
        <v>n</v>
      </c>
      <c r="T24">
        <v>2740120981</v>
      </c>
      <c r="U24" t="str">
        <f t="shared" si="6"/>
        <v>n</v>
      </c>
      <c r="V24">
        <v>2740120981</v>
      </c>
      <c r="W24" t="str">
        <f t="shared" si="7"/>
        <v>n</v>
      </c>
      <c r="X24">
        <v>2740120981</v>
      </c>
      <c r="Y24" t="str">
        <f t="shared" si="8"/>
        <v>n</v>
      </c>
    </row>
    <row r="25" spans="1:25">
      <c r="A25" s="3" t="s">
        <v>46</v>
      </c>
      <c r="B25" t="str" cm="1">
        <f t="array" ref="B25:D25">_xlfn.TEXTSPLIT(A25," ")</f>
        <v>2667304792</v>
      </c>
      <c r="C25" t="str">
        <v>2241248188</v>
      </c>
      <c r="D25" t="str">
        <v>370779442</v>
      </c>
      <c r="E25" s="9">
        <f t="shared" si="9"/>
        <v>2241248188</v>
      </c>
      <c r="F25" s="9">
        <f t="shared" si="9"/>
        <v>370779442</v>
      </c>
      <c r="G25" s="9">
        <f t="shared" si="10"/>
        <v>2612027629</v>
      </c>
      <c r="I25">
        <f t="shared" si="12"/>
        <v>2667304792</v>
      </c>
      <c r="J25">
        <f t="shared" si="11"/>
        <v>3038084233</v>
      </c>
      <c r="K25" s="12">
        <v>10055892</v>
      </c>
      <c r="L25" s="12">
        <v>147214248</v>
      </c>
      <c r="M25" s="8">
        <f t="shared" ref="M25:N27" si="13">K25</f>
        <v>10055892</v>
      </c>
      <c r="N25" s="8">
        <f t="shared" si="13"/>
        <v>147214248</v>
      </c>
      <c r="P25">
        <v>81327018</v>
      </c>
      <c r="Q25" t="str">
        <f t="shared" si="4"/>
        <v>n</v>
      </c>
      <c r="R25">
        <v>81327018</v>
      </c>
      <c r="S25" t="str">
        <f t="shared" si="5"/>
        <v>n</v>
      </c>
      <c r="T25">
        <v>81327018</v>
      </c>
      <c r="U25" t="str">
        <f t="shared" si="6"/>
        <v>n</v>
      </c>
      <c r="V25">
        <v>81327018</v>
      </c>
      <c r="W25" t="str">
        <f t="shared" si="7"/>
        <v>n</v>
      </c>
      <c r="X25">
        <v>81327018</v>
      </c>
      <c r="Y25" t="str">
        <f t="shared" si="8"/>
        <v>n</v>
      </c>
    </row>
    <row r="26" spans="1:25">
      <c r="A26" s="3" t="s">
        <v>47</v>
      </c>
      <c r="B26" t="str" cm="1">
        <f t="array" ref="B26:D26">_xlfn.TEXTSPLIT(A26," ")</f>
        <v>2100494519</v>
      </c>
      <c r="C26" t="str">
        <v>3921619167</v>
      </c>
      <c r="D26" t="str">
        <v>310040103</v>
      </c>
      <c r="E26" s="9">
        <f t="shared" si="9"/>
        <v>3921619167</v>
      </c>
      <c r="F26" s="9">
        <f t="shared" si="9"/>
        <v>310040103</v>
      </c>
      <c r="G26" s="9">
        <f t="shared" si="10"/>
        <v>4231659269</v>
      </c>
      <c r="I26">
        <f t="shared" si="12"/>
        <v>2100494519</v>
      </c>
      <c r="J26">
        <f t="shared" si="11"/>
        <v>2410534621</v>
      </c>
      <c r="K26" s="21">
        <v>1196986697</v>
      </c>
      <c r="L26" s="12">
        <v>1199154072</v>
      </c>
      <c r="M26" s="17">
        <f t="shared" si="13"/>
        <v>1196986697</v>
      </c>
      <c r="N26" s="8">
        <f t="shared" si="13"/>
        <v>1199154072</v>
      </c>
      <c r="P26">
        <v>2031777983</v>
      </c>
      <c r="Q26" t="str">
        <f t="shared" si="4"/>
        <v>n</v>
      </c>
      <c r="R26">
        <v>2031777983</v>
      </c>
      <c r="S26" t="str">
        <f t="shared" si="5"/>
        <v>n</v>
      </c>
      <c r="T26">
        <v>2031777983</v>
      </c>
      <c r="U26" t="str">
        <f t="shared" si="6"/>
        <v>n</v>
      </c>
      <c r="V26">
        <v>2031777983</v>
      </c>
      <c r="W26" t="str">
        <f t="shared" si="7"/>
        <v>n</v>
      </c>
      <c r="X26">
        <v>2031777983</v>
      </c>
      <c r="Y26" t="str">
        <f t="shared" si="8"/>
        <v>n</v>
      </c>
    </row>
    <row r="27" spans="1:25">
      <c r="A27" s="3" t="s">
        <v>48</v>
      </c>
      <c r="B27" t="str" cm="1">
        <f t="array" ref="B27:D27">_xlfn.TEXTSPLIT(A27," ")</f>
        <v>3611390334</v>
      </c>
      <c r="C27" t="str">
        <v>2612027630</v>
      </c>
      <c r="D27" t="str">
        <v>654279434</v>
      </c>
      <c r="E27" s="9">
        <f t="shared" si="9"/>
        <v>2612027630</v>
      </c>
      <c r="F27" s="9">
        <f t="shared" si="9"/>
        <v>654279434</v>
      </c>
      <c r="G27" s="9">
        <f t="shared" si="10"/>
        <v>3266307063</v>
      </c>
      <c r="I27">
        <f t="shared" si="12"/>
        <v>3611390334</v>
      </c>
      <c r="J27">
        <f t="shared" si="11"/>
        <v>4265669767</v>
      </c>
      <c r="K27" s="12">
        <v>1222384796</v>
      </c>
      <c r="L27" s="12">
        <v>1299312684</v>
      </c>
      <c r="M27" s="8">
        <f t="shared" si="13"/>
        <v>1222384796</v>
      </c>
      <c r="N27" s="8">
        <f t="shared" si="13"/>
        <v>1299312684</v>
      </c>
      <c r="P27">
        <v>63513119</v>
      </c>
      <c r="Q27" t="str">
        <f t="shared" si="4"/>
        <v>n</v>
      </c>
      <c r="R27">
        <v>63513119</v>
      </c>
      <c r="S27" t="str">
        <f t="shared" si="5"/>
        <v>n</v>
      </c>
      <c r="T27">
        <v>63513119</v>
      </c>
      <c r="U27" t="str">
        <f t="shared" si="6"/>
        <v>n</v>
      </c>
      <c r="V27">
        <v>63513119</v>
      </c>
      <c r="W27" t="str">
        <f t="shared" si="7"/>
        <v>n</v>
      </c>
      <c r="X27">
        <v>63513119</v>
      </c>
      <c r="Y27" t="str">
        <f t="shared" si="8"/>
        <v>n</v>
      </c>
    </row>
    <row r="28" spans="1:25">
      <c r="A28" s="3" t="s">
        <v>49</v>
      </c>
      <c r="B28" t="str" cm="1">
        <f t="array" ref="B28:D28">_xlfn.TEXTSPLIT(A28," ")</f>
        <v>2555848651</v>
      </c>
      <c r="C28" t="str">
        <v>2030756625</v>
      </c>
      <c r="D28" t="str">
        <v>111456141</v>
      </c>
      <c r="E28" s="9">
        <f t="shared" si="9"/>
        <v>2030756625</v>
      </c>
      <c r="F28" s="9">
        <f t="shared" si="9"/>
        <v>111456141</v>
      </c>
      <c r="G28" s="9">
        <f t="shared" si="10"/>
        <v>2142212765</v>
      </c>
      <c r="I28">
        <f t="shared" si="12"/>
        <v>2555848651</v>
      </c>
      <c r="J28">
        <f t="shared" si="11"/>
        <v>2667304791</v>
      </c>
      <c r="P28">
        <v>2871914181</v>
      </c>
      <c r="Q28" t="str">
        <f t="shared" si="4"/>
        <v>n</v>
      </c>
      <c r="R28">
        <v>2871914181</v>
      </c>
      <c r="S28" t="str">
        <f t="shared" si="5"/>
        <v>n</v>
      </c>
      <c r="T28">
        <v>2871914181</v>
      </c>
      <c r="U28" t="str">
        <f t="shared" si="6"/>
        <v>n</v>
      </c>
      <c r="V28">
        <v>2871914181</v>
      </c>
      <c r="W28" t="str">
        <f t="shared" si="7"/>
        <v>n</v>
      </c>
      <c r="X28">
        <v>2871914181</v>
      </c>
      <c r="Y28" t="str">
        <f t="shared" si="8"/>
        <v>n</v>
      </c>
    </row>
    <row r="29" spans="1:25">
      <c r="A29" s="3" t="s">
        <v>50</v>
      </c>
      <c r="B29" t="str" cm="1">
        <f t="array" ref="B29:D29">_xlfn.TEXTSPLIT(A29," ")</f>
        <v>733063720</v>
      </c>
      <c r="C29" t="str">
        <v>869238953</v>
      </c>
      <c r="D29" t="str">
        <v>195075492</v>
      </c>
      <c r="E29" s="9">
        <f t="shared" si="9"/>
        <v>869238953</v>
      </c>
      <c r="F29" s="9">
        <f t="shared" si="9"/>
        <v>195075492</v>
      </c>
      <c r="G29" s="9">
        <f t="shared" si="10"/>
        <v>1064314444</v>
      </c>
      <c r="I29" s="9">
        <f t="shared" si="12"/>
        <v>733063720</v>
      </c>
      <c r="J29" s="9">
        <f t="shared" si="11"/>
        <v>928139211</v>
      </c>
      <c r="P29">
        <v>270575980</v>
      </c>
      <c r="Q29" t="str">
        <f t="shared" si="4"/>
        <v>n</v>
      </c>
      <c r="R29">
        <v>270575980</v>
      </c>
      <c r="S29" t="str">
        <f t="shared" si="5"/>
        <v>n</v>
      </c>
      <c r="T29">
        <v>270575980</v>
      </c>
      <c r="U29" t="str">
        <f t="shared" si="6"/>
        <v>n</v>
      </c>
      <c r="V29">
        <v>270575980</v>
      </c>
      <c r="W29" t="str">
        <f t="shared" si="7"/>
        <v>n</v>
      </c>
      <c r="X29">
        <v>270575980</v>
      </c>
      <c r="Y29" t="str">
        <f t="shared" si="8"/>
        <v>n</v>
      </c>
    </row>
    <row r="30" spans="1:25">
      <c r="A30" s="3" t="s">
        <v>51</v>
      </c>
      <c r="B30" t="str" cm="1">
        <f t="array" ref="B30:D30">_xlfn.TEXTSPLIT(A30," ")</f>
        <v>3300887847</v>
      </c>
      <c r="C30" t="str">
        <v>4231659270</v>
      </c>
      <c r="D30" t="str">
        <v>63308026</v>
      </c>
      <c r="E30" s="9">
        <f t="shared" si="9"/>
        <v>4231659270</v>
      </c>
      <c r="F30" s="9">
        <f t="shared" si="9"/>
        <v>63308026</v>
      </c>
      <c r="G30" s="9">
        <f t="shared" si="10"/>
        <v>4294967295</v>
      </c>
      <c r="I30">
        <f t="shared" si="12"/>
        <v>3300887847</v>
      </c>
      <c r="J30">
        <f t="shared" si="11"/>
        <v>3364195872</v>
      </c>
      <c r="P30">
        <v>2200250633</v>
      </c>
      <c r="Q30" t="str">
        <f t="shared" si="4"/>
        <v>n</v>
      </c>
      <c r="R30">
        <v>2200250633</v>
      </c>
      <c r="S30" t="str">
        <f t="shared" si="5"/>
        <v>n</v>
      </c>
      <c r="T30">
        <v>2200250633</v>
      </c>
      <c r="U30" t="str">
        <f t="shared" si="6"/>
        <v>n</v>
      </c>
      <c r="V30">
        <v>2200250633</v>
      </c>
      <c r="W30" t="str">
        <f t="shared" si="7"/>
        <v>n</v>
      </c>
      <c r="X30">
        <v>2200250633</v>
      </c>
      <c r="Y30" t="str">
        <f t="shared" si="8"/>
        <v>n</v>
      </c>
    </row>
    <row r="31" spans="1:25">
      <c r="A31" s="3" t="s">
        <v>52</v>
      </c>
      <c r="B31" t="str" cm="1">
        <f t="array" ref="B31:D31">_xlfn.TEXTSPLIT(A31," ")</f>
        <v>3364195873</v>
      </c>
      <c r="C31" t="str">
        <v>3674424706</v>
      </c>
      <c r="D31" t="str">
        <v>247194461</v>
      </c>
      <c r="E31" s="9">
        <f t="shared" si="9"/>
        <v>3674424706</v>
      </c>
      <c r="F31" s="9">
        <f t="shared" si="9"/>
        <v>247194461</v>
      </c>
      <c r="G31" s="9">
        <f t="shared" si="10"/>
        <v>3921619166</v>
      </c>
      <c r="I31">
        <f t="shared" si="12"/>
        <v>3364195873</v>
      </c>
      <c r="J31">
        <f t="shared" si="11"/>
        <v>3611390333</v>
      </c>
      <c r="P31">
        <v>216481794</v>
      </c>
      <c r="Q31" t="str">
        <f t="shared" si="4"/>
        <v>n</v>
      </c>
      <c r="R31">
        <v>216481794</v>
      </c>
      <c r="S31" t="str">
        <f t="shared" si="5"/>
        <v>n</v>
      </c>
      <c r="T31">
        <v>216481794</v>
      </c>
      <c r="U31" t="str">
        <f t="shared" si="6"/>
        <v>n</v>
      </c>
      <c r="V31">
        <v>216481794</v>
      </c>
      <c r="W31" t="str">
        <f t="shared" si="7"/>
        <v>n</v>
      </c>
      <c r="X31">
        <v>216481794</v>
      </c>
      <c r="Y31" t="str">
        <f t="shared" si="8"/>
        <v>n</v>
      </c>
    </row>
    <row r="32" spans="1:25">
      <c r="A32" s="3" t="s">
        <v>53</v>
      </c>
      <c r="B32" t="str" cm="1">
        <f t="array" ref="B32:D32">_xlfn.TEXTSPLIT(A32," ")</f>
        <v>928139212</v>
      </c>
      <c r="C32" t="str">
        <v>733063720</v>
      </c>
      <c r="D32" t="str">
        <v>136175233</v>
      </c>
      <c r="E32" s="9">
        <f t="shared" si="9"/>
        <v>733063720</v>
      </c>
      <c r="F32" s="9">
        <f t="shared" si="9"/>
        <v>136175233</v>
      </c>
      <c r="G32" s="9">
        <f t="shared" si="10"/>
        <v>869238952</v>
      </c>
      <c r="I32" s="20">
        <f t="shared" si="12"/>
        <v>928139212</v>
      </c>
      <c r="J32" s="6">
        <f t="shared" si="11"/>
        <v>1064314444</v>
      </c>
      <c r="K32">
        <v>1063362188</v>
      </c>
      <c r="L32">
        <v>1130485867</v>
      </c>
      <c r="M32" s="8">
        <f>N32-(J32-K32)</f>
        <v>868286696</v>
      </c>
      <c r="N32" s="8">
        <f>G32</f>
        <v>869238952</v>
      </c>
      <c r="P32">
        <v>3289604059</v>
      </c>
      <c r="Q32" t="str">
        <f t="shared" si="4"/>
        <v>n</v>
      </c>
      <c r="R32">
        <v>3289604059</v>
      </c>
      <c r="S32" t="str">
        <f t="shared" si="5"/>
        <v>n</v>
      </c>
      <c r="T32">
        <v>3289604059</v>
      </c>
      <c r="U32" t="str">
        <f t="shared" si="6"/>
        <v>n</v>
      </c>
      <c r="V32">
        <v>3289604059</v>
      </c>
      <c r="W32" t="str">
        <f t="shared" si="7"/>
        <v>n</v>
      </c>
      <c r="X32">
        <v>3289604059</v>
      </c>
      <c r="Y32" t="str">
        <f t="shared" si="8"/>
        <v>n</v>
      </c>
    </row>
    <row r="33" spans="1:25">
      <c r="A33" s="3"/>
      <c r="P33">
        <v>25147787</v>
      </c>
      <c r="Q33" t="str">
        <f t="shared" si="4"/>
        <v>n</v>
      </c>
      <c r="R33">
        <v>25147787</v>
      </c>
      <c r="S33" t="str">
        <f t="shared" si="5"/>
        <v>n</v>
      </c>
      <c r="T33">
        <v>25147787</v>
      </c>
      <c r="U33" t="str">
        <f t="shared" si="6"/>
        <v>n</v>
      </c>
      <c r="V33" s="7">
        <v>25147787</v>
      </c>
      <c r="W33" s="7" t="str">
        <f t="shared" si="7"/>
        <v>yes</v>
      </c>
      <c r="X33">
        <v>25147787</v>
      </c>
      <c r="Y33" t="str">
        <f t="shared" si="8"/>
        <v>n</v>
      </c>
    </row>
    <row r="34" spans="1:25">
      <c r="A34" s="3" t="s">
        <v>8</v>
      </c>
      <c r="E34" t="s">
        <v>218</v>
      </c>
      <c r="I34" t="s">
        <v>217</v>
      </c>
      <c r="P34">
        <v>3472625834</v>
      </c>
      <c r="Q34" t="str">
        <f t="shared" si="4"/>
        <v>n</v>
      </c>
      <c r="R34">
        <v>3472625834</v>
      </c>
      <c r="S34" t="str">
        <f t="shared" si="5"/>
        <v>n</v>
      </c>
      <c r="T34">
        <v>3472625834</v>
      </c>
      <c r="U34" t="str">
        <f t="shared" si="6"/>
        <v>n</v>
      </c>
      <c r="V34">
        <v>3472625834</v>
      </c>
      <c r="W34" t="str">
        <f t="shared" si="7"/>
        <v>n</v>
      </c>
      <c r="X34">
        <v>3472625834</v>
      </c>
      <c r="Y34" t="str">
        <f t="shared" si="8"/>
        <v>n</v>
      </c>
    </row>
    <row r="35" spans="1:25">
      <c r="A35" s="3" t="s">
        <v>54</v>
      </c>
      <c r="B35" t="str" cm="1">
        <f t="array" ref="B35:D35">_xlfn.TEXTSPLIT(A35," ")</f>
        <v>0</v>
      </c>
      <c r="C35" t="str">
        <v>772139976</v>
      </c>
      <c r="D35" t="str">
        <v>154052576</v>
      </c>
      <c r="E35" s="9">
        <f t="shared" ref="E35:F50" si="14">VALUE(C35)</f>
        <v>772139976</v>
      </c>
      <c r="F35" s="9">
        <f t="shared" si="14"/>
        <v>154052576</v>
      </c>
      <c r="G35" s="9">
        <f t="shared" ref="G35:G72" si="15">E35+F35-1</f>
        <v>926192551</v>
      </c>
      <c r="I35" s="14">
        <f>VALUE(B35)</f>
        <v>0</v>
      </c>
      <c r="J35" s="14">
        <f t="shared" ref="J35:J72" si="16">I35+F35-1</f>
        <v>154052575</v>
      </c>
      <c r="P35">
        <v>10030240</v>
      </c>
      <c r="Q35" t="str">
        <f t="shared" si="4"/>
        <v>n</v>
      </c>
      <c r="R35">
        <v>10030240</v>
      </c>
      <c r="S35" t="str">
        <f t="shared" si="5"/>
        <v>n</v>
      </c>
      <c r="T35">
        <v>10030240</v>
      </c>
      <c r="U35" t="str">
        <f t="shared" si="6"/>
        <v>n</v>
      </c>
      <c r="V35">
        <v>10030240</v>
      </c>
      <c r="W35" t="str">
        <f t="shared" si="7"/>
        <v>n</v>
      </c>
      <c r="X35">
        <v>10030240</v>
      </c>
      <c r="Y35" t="str">
        <f t="shared" si="8"/>
        <v>n</v>
      </c>
    </row>
    <row r="36" spans="1:25">
      <c r="A36" s="3" t="s">
        <v>55</v>
      </c>
      <c r="B36" t="str" cm="1">
        <f t="array" ref="B36:D36">_xlfn.TEXTSPLIT(A36," ")</f>
        <v>909628165</v>
      </c>
      <c r="C36" t="str">
        <v>428370542</v>
      </c>
      <c r="D36" t="str">
        <v>51644443</v>
      </c>
      <c r="E36" s="9">
        <f t="shared" si="14"/>
        <v>428370542</v>
      </c>
      <c r="F36" s="9">
        <f t="shared" si="14"/>
        <v>51644443</v>
      </c>
      <c r="G36" s="9">
        <f t="shared" si="15"/>
        <v>480014984</v>
      </c>
      <c r="I36" s="14">
        <f t="shared" ref="I36:I72" si="17">VALUE(B36)</f>
        <v>909628165</v>
      </c>
      <c r="J36" s="14">
        <f t="shared" si="16"/>
        <v>961272607</v>
      </c>
      <c r="P36">
        <v>260990830</v>
      </c>
      <c r="Q36" t="str">
        <f t="shared" si="4"/>
        <v>n</v>
      </c>
      <c r="R36">
        <v>260990830</v>
      </c>
      <c r="S36" t="str">
        <f t="shared" si="5"/>
        <v>n</v>
      </c>
      <c r="T36">
        <v>260990830</v>
      </c>
      <c r="U36" t="str">
        <f t="shared" si="6"/>
        <v>n</v>
      </c>
      <c r="V36">
        <v>260990830</v>
      </c>
      <c r="W36" t="str">
        <f t="shared" si="7"/>
        <v>n</v>
      </c>
      <c r="X36">
        <v>260990830</v>
      </c>
      <c r="Y36" t="str">
        <f t="shared" si="8"/>
        <v>n</v>
      </c>
    </row>
    <row r="37" spans="1:25">
      <c r="A37" s="3" t="s">
        <v>56</v>
      </c>
      <c r="B37" t="str" cm="1">
        <f t="array" ref="B37:D37">_xlfn.TEXTSPLIT(A37," ")</f>
        <v>3172969725</v>
      </c>
      <c r="C37" t="str">
        <v>4109584032</v>
      </c>
      <c r="D37" t="str">
        <v>185383264</v>
      </c>
      <c r="E37" s="9">
        <f t="shared" si="14"/>
        <v>4109584032</v>
      </c>
      <c r="F37" s="9">
        <f t="shared" si="14"/>
        <v>185383264</v>
      </c>
      <c r="G37" s="9">
        <f t="shared" si="15"/>
        <v>4294967295</v>
      </c>
      <c r="I37" s="14">
        <f t="shared" si="17"/>
        <v>3172969725</v>
      </c>
      <c r="J37" s="14">
        <f t="shared" si="16"/>
        <v>3358352988</v>
      </c>
      <c r="P37">
        <v>232636388</v>
      </c>
      <c r="Q37" t="str">
        <f t="shared" si="4"/>
        <v>n</v>
      </c>
      <c r="R37">
        <v>232636388</v>
      </c>
      <c r="S37" t="str">
        <f t="shared" si="5"/>
        <v>n</v>
      </c>
      <c r="T37">
        <v>232636388</v>
      </c>
      <c r="U37" t="str">
        <f t="shared" si="6"/>
        <v>n</v>
      </c>
      <c r="V37">
        <v>232636388</v>
      </c>
      <c r="W37" t="str">
        <f t="shared" si="7"/>
        <v>n</v>
      </c>
      <c r="X37">
        <v>232636388</v>
      </c>
      <c r="Y37" t="str">
        <f t="shared" si="8"/>
        <v>n</v>
      </c>
    </row>
    <row r="38" spans="1:25">
      <c r="A38" s="3" t="s">
        <v>57</v>
      </c>
      <c r="B38" t="str" cm="1">
        <f t="array" ref="B38:D38">_xlfn.TEXTSPLIT(A38," ")</f>
        <v>1116931128</v>
      </c>
      <c r="C38" t="str">
        <v>1046566515</v>
      </c>
      <c r="D38" t="str">
        <v>14194115</v>
      </c>
      <c r="E38" s="9">
        <f t="shared" si="14"/>
        <v>1046566515</v>
      </c>
      <c r="F38" s="9">
        <f t="shared" si="14"/>
        <v>14194115</v>
      </c>
      <c r="G38" s="9">
        <f t="shared" si="15"/>
        <v>1060760629</v>
      </c>
      <c r="I38" s="14">
        <f t="shared" si="17"/>
        <v>1116931128</v>
      </c>
      <c r="J38" s="14">
        <f t="shared" si="16"/>
        <v>1131125242</v>
      </c>
      <c r="M38" t="s">
        <v>224</v>
      </c>
    </row>
    <row r="39" spans="1:25">
      <c r="A39" s="3" t="s">
        <v>58</v>
      </c>
      <c r="B39" t="str" cm="1">
        <f t="array" ref="B39:D39">_xlfn.TEXTSPLIT(A39," ")</f>
        <v>223777814</v>
      </c>
      <c r="C39" t="str">
        <v>10055892</v>
      </c>
      <c r="D39" t="str">
        <v>255169216</v>
      </c>
      <c r="E39" s="9">
        <f t="shared" si="14"/>
        <v>10055892</v>
      </c>
      <c r="F39" s="9">
        <f t="shared" si="14"/>
        <v>255169216</v>
      </c>
      <c r="G39" s="9">
        <f t="shared" si="15"/>
        <v>265225107</v>
      </c>
      <c r="I39" s="15">
        <f t="shared" si="17"/>
        <v>223777814</v>
      </c>
      <c r="J39" s="22">
        <f t="shared" si="16"/>
        <v>478947029</v>
      </c>
      <c r="K39">
        <v>156654134</v>
      </c>
      <c r="L39">
        <v>293812490</v>
      </c>
      <c r="M39" s="8">
        <f>E39</f>
        <v>10055892</v>
      </c>
      <c r="N39" s="8">
        <f>M39+L39-K39</f>
        <v>147214248</v>
      </c>
      <c r="P39" s="9"/>
      <c r="Q39" s="9"/>
    </row>
    <row r="40" spans="1:25">
      <c r="A40" s="3" t="s">
        <v>59</v>
      </c>
      <c r="B40" t="str" cm="1">
        <f t="array" ref="B40:D40">_xlfn.TEXTSPLIT(A40," ")</f>
        <v>2512535520</v>
      </c>
      <c r="C40" t="str">
        <v>1229983026</v>
      </c>
      <c r="D40" t="str">
        <v>60386000</v>
      </c>
      <c r="E40" s="9">
        <f t="shared" si="14"/>
        <v>1229983026</v>
      </c>
      <c r="F40" s="9">
        <f t="shared" si="14"/>
        <v>60386000</v>
      </c>
      <c r="G40" s="9">
        <f t="shared" si="15"/>
        <v>1290369025</v>
      </c>
      <c r="I40" s="14">
        <f t="shared" si="17"/>
        <v>2512535520</v>
      </c>
      <c r="J40" s="14">
        <f t="shared" si="16"/>
        <v>2572921519</v>
      </c>
    </row>
    <row r="41" spans="1:25">
      <c r="A41" s="3" t="s">
        <v>60</v>
      </c>
      <c r="B41" t="str" cm="1">
        <f t="array" ref="B41:D41">_xlfn.TEXTSPLIT(A41," ")</f>
        <v>3109777744</v>
      </c>
      <c r="C41" t="str">
        <v>3899207072</v>
      </c>
      <c r="D41" t="str">
        <v>16374329</v>
      </c>
      <c r="E41" s="9">
        <f t="shared" si="14"/>
        <v>3899207072</v>
      </c>
      <c r="F41" s="9">
        <f t="shared" si="14"/>
        <v>16374329</v>
      </c>
      <c r="G41" s="9">
        <f t="shared" si="15"/>
        <v>3915581400</v>
      </c>
      <c r="I41" s="14">
        <f t="shared" si="17"/>
        <v>3109777744</v>
      </c>
      <c r="J41" s="14">
        <f t="shared" si="16"/>
        <v>3126152072</v>
      </c>
    </row>
    <row r="42" spans="1:25">
      <c r="A42" s="3" t="s">
        <v>61</v>
      </c>
      <c r="B42" t="str" cm="1">
        <f t="array" ref="B42:D42">_xlfn.TEXTSPLIT(A42," ")</f>
        <v>4030761870</v>
      </c>
      <c r="C42" t="str">
        <v>3829858282</v>
      </c>
      <c r="D42" t="str">
        <v>12540292</v>
      </c>
      <c r="E42" s="9">
        <f t="shared" si="14"/>
        <v>3829858282</v>
      </c>
      <c r="F42" s="9">
        <f t="shared" si="14"/>
        <v>12540292</v>
      </c>
      <c r="G42" s="9">
        <f t="shared" si="15"/>
        <v>3842398573</v>
      </c>
      <c r="I42" s="14">
        <f t="shared" si="17"/>
        <v>4030761870</v>
      </c>
      <c r="J42" s="14">
        <f t="shared" si="16"/>
        <v>4043302161</v>
      </c>
    </row>
    <row r="43" spans="1:25">
      <c r="A43" s="3" t="s">
        <v>62</v>
      </c>
      <c r="B43" t="str" cm="1">
        <f t="array" ref="B43:D43">_xlfn.TEXTSPLIT(A43," ")</f>
        <v>828135093</v>
      </c>
      <c r="C43" t="str">
        <v>718323602</v>
      </c>
      <c r="D43" t="str">
        <v>53816374</v>
      </c>
      <c r="E43" s="9">
        <f t="shared" si="14"/>
        <v>718323602</v>
      </c>
      <c r="F43" s="9">
        <f t="shared" si="14"/>
        <v>53816374</v>
      </c>
      <c r="G43" s="9">
        <f t="shared" si="15"/>
        <v>772139975</v>
      </c>
      <c r="I43" s="14">
        <f t="shared" si="17"/>
        <v>828135093</v>
      </c>
      <c r="J43" s="14">
        <f t="shared" si="16"/>
        <v>881951466</v>
      </c>
    </row>
    <row r="44" spans="1:25">
      <c r="A44" s="3" t="s">
        <v>63</v>
      </c>
      <c r="B44" t="str" cm="1">
        <f t="array" ref="B44:D44">_xlfn.TEXTSPLIT(A44," ")</f>
        <v>2358450176</v>
      </c>
      <c r="C44" t="str">
        <v>2554590817</v>
      </c>
      <c r="D44" t="str">
        <v>154085344</v>
      </c>
      <c r="E44" s="9">
        <f t="shared" si="14"/>
        <v>2554590817</v>
      </c>
      <c r="F44" s="9">
        <f t="shared" si="14"/>
        <v>154085344</v>
      </c>
      <c r="G44" s="9">
        <f t="shared" si="15"/>
        <v>2708676160</v>
      </c>
      <c r="I44" s="14">
        <f t="shared" si="17"/>
        <v>2358450176</v>
      </c>
      <c r="J44" s="14">
        <f t="shared" si="16"/>
        <v>2512535519</v>
      </c>
    </row>
    <row r="45" spans="1:25">
      <c r="A45" s="3" t="s">
        <v>64</v>
      </c>
      <c r="B45" t="str" cm="1">
        <f t="array" ref="B45:D45">_xlfn.TEXTSPLIT(A45," ")</f>
        <v>3126152073</v>
      </c>
      <c r="C45" t="str">
        <v>3152512175</v>
      </c>
      <c r="D45" t="str">
        <v>46817652</v>
      </c>
      <c r="E45" s="9">
        <f t="shared" si="14"/>
        <v>3152512175</v>
      </c>
      <c r="F45" s="9">
        <f t="shared" si="14"/>
        <v>46817652</v>
      </c>
      <c r="G45" s="9">
        <f t="shared" si="15"/>
        <v>3199329826</v>
      </c>
      <c r="I45" s="14">
        <f t="shared" si="17"/>
        <v>3126152073</v>
      </c>
      <c r="J45" s="14">
        <f t="shared" si="16"/>
        <v>3172969724</v>
      </c>
    </row>
    <row r="46" spans="1:25">
      <c r="A46" s="3" t="s">
        <v>65</v>
      </c>
      <c r="B46" t="str" cm="1">
        <f t="array" ref="B46:D46">_xlfn.TEXTSPLIT(A46," ")</f>
        <v>4043302162</v>
      </c>
      <c r="C46" t="str">
        <v>3842398574</v>
      </c>
      <c r="D46" t="str">
        <v>56808498</v>
      </c>
      <c r="E46" s="9">
        <f t="shared" si="14"/>
        <v>3842398574</v>
      </c>
      <c r="F46" s="9">
        <f t="shared" si="14"/>
        <v>56808498</v>
      </c>
      <c r="G46" s="9">
        <f t="shared" si="15"/>
        <v>3899207071</v>
      </c>
      <c r="I46" s="14">
        <f t="shared" si="17"/>
        <v>4043302162</v>
      </c>
      <c r="J46" s="14">
        <f t="shared" si="16"/>
        <v>4100110659</v>
      </c>
      <c r="K46" s="21">
        <v>1196986697</v>
      </c>
      <c r="L46" s="12">
        <v>1199154072</v>
      </c>
      <c r="M46" s="17">
        <f>K46</f>
        <v>1196986697</v>
      </c>
      <c r="N46" s="8">
        <f>L46</f>
        <v>1199154072</v>
      </c>
    </row>
    <row r="47" spans="1:25">
      <c r="A47" s="3" t="s">
        <v>66</v>
      </c>
      <c r="B47" t="str" cm="1">
        <f t="array" ref="B47:D47">_xlfn.TEXTSPLIT(A47," ")</f>
        <v>3694349069</v>
      </c>
      <c r="C47" t="str">
        <v>3493296400</v>
      </c>
      <c r="D47" t="str">
        <v>336412801</v>
      </c>
      <c r="E47" s="9">
        <f t="shared" si="14"/>
        <v>3493296400</v>
      </c>
      <c r="F47" s="9">
        <f t="shared" si="14"/>
        <v>336412801</v>
      </c>
      <c r="G47" s="9">
        <f t="shared" si="15"/>
        <v>3829709200</v>
      </c>
      <c r="I47" s="14">
        <f t="shared" si="17"/>
        <v>3694349069</v>
      </c>
      <c r="J47" s="14">
        <f t="shared" si="16"/>
        <v>4030761869</v>
      </c>
      <c r="K47" s="12">
        <v>1222384796</v>
      </c>
      <c r="L47" s="12">
        <v>1299312684</v>
      </c>
      <c r="M47" s="8">
        <f>K47</f>
        <v>1222384796</v>
      </c>
      <c r="N47" s="8">
        <f>L47</f>
        <v>1299312684</v>
      </c>
    </row>
    <row r="48" spans="1:25">
      <c r="A48" s="3" t="s">
        <v>67</v>
      </c>
      <c r="B48" t="str" cm="1">
        <f t="array" ref="B48:D48">_xlfn.TEXTSPLIT(A48," ")</f>
        <v>770911368</v>
      </c>
      <c r="C48" t="str">
        <v>661099877</v>
      </c>
      <c r="D48" t="str">
        <v>57223725</v>
      </c>
      <c r="E48" s="9">
        <f t="shared" si="14"/>
        <v>661099877</v>
      </c>
      <c r="F48" s="9">
        <f t="shared" si="14"/>
        <v>57223725</v>
      </c>
      <c r="G48" s="9">
        <f t="shared" si="15"/>
        <v>718323601</v>
      </c>
      <c r="I48" s="14">
        <f t="shared" si="17"/>
        <v>770911368</v>
      </c>
      <c r="J48" s="14">
        <f t="shared" si="16"/>
        <v>828135092</v>
      </c>
    </row>
    <row r="49" spans="1:14">
      <c r="A49" s="3" t="s">
        <v>68</v>
      </c>
      <c r="B49" t="str" cm="1">
        <f t="array" ref="B49:D49">_xlfn.TEXTSPLIT(A49," ")</f>
        <v>3574254366</v>
      </c>
      <c r="C49" t="str">
        <v>3032417472</v>
      </c>
      <c r="D49" t="str">
        <v>120094703</v>
      </c>
      <c r="E49" s="9">
        <f t="shared" si="14"/>
        <v>3032417472</v>
      </c>
      <c r="F49" s="9">
        <f t="shared" si="14"/>
        <v>120094703</v>
      </c>
      <c r="G49" s="9">
        <f t="shared" si="15"/>
        <v>3152512174</v>
      </c>
      <c r="I49" s="14">
        <f t="shared" si="17"/>
        <v>3574254366</v>
      </c>
      <c r="J49" s="14">
        <f t="shared" si="16"/>
        <v>3694349068</v>
      </c>
    </row>
    <row r="50" spans="1:14">
      <c r="A50" s="3" t="s">
        <v>69</v>
      </c>
      <c r="B50" t="str" cm="1">
        <f t="array" ref="B50:D50">_xlfn.TEXTSPLIT(A50," ")</f>
        <v>2689829955</v>
      </c>
      <c r="C50" t="str">
        <v>2124052738</v>
      </c>
      <c r="D50" t="str">
        <v>139986329</v>
      </c>
      <c r="E50" s="9">
        <f t="shared" si="14"/>
        <v>2124052738</v>
      </c>
      <c r="F50" s="9">
        <f t="shared" si="14"/>
        <v>139986329</v>
      </c>
      <c r="G50" s="9">
        <f t="shared" si="15"/>
        <v>2264039066</v>
      </c>
      <c r="I50" s="14">
        <f t="shared" si="17"/>
        <v>2689829955</v>
      </c>
      <c r="J50" s="14">
        <f t="shared" si="16"/>
        <v>2829816283</v>
      </c>
    </row>
    <row r="51" spans="1:14">
      <c r="A51" s="3" t="s">
        <v>70</v>
      </c>
      <c r="B51" t="str" cm="1">
        <f t="array" ref="B51:D51">_xlfn.TEXTSPLIT(A51," ")</f>
        <v>3358352989</v>
      </c>
      <c r="C51" t="str">
        <v>1925653441</v>
      </c>
      <c r="D51" t="str">
        <v>3542661</v>
      </c>
      <c r="E51" s="9">
        <f t="shared" ref="E51:F72" si="18">VALUE(C51)</f>
        <v>1925653441</v>
      </c>
      <c r="F51" s="9">
        <f t="shared" si="18"/>
        <v>3542661</v>
      </c>
      <c r="G51" s="9">
        <f t="shared" si="15"/>
        <v>1929196101</v>
      </c>
      <c r="I51" s="14">
        <f t="shared" si="17"/>
        <v>3358352989</v>
      </c>
      <c r="J51" s="14">
        <f t="shared" si="16"/>
        <v>3361895649</v>
      </c>
    </row>
    <row r="52" spans="1:14">
      <c r="A52" s="3" t="s">
        <v>71</v>
      </c>
      <c r="B52" t="str" cm="1">
        <f t="array" ref="B52:D52">_xlfn.TEXTSPLIT(A52," ")</f>
        <v>154052576</v>
      </c>
      <c r="C52" t="str">
        <v>1060760630</v>
      </c>
      <c r="D52" t="str">
        <v>69725238</v>
      </c>
      <c r="E52" s="9">
        <f t="shared" si="18"/>
        <v>1060760630</v>
      </c>
      <c r="F52" s="9">
        <f t="shared" si="18"/>
        <v>69725238</v>
      </c>
      <c r="G52" s="9">
        <f t="shared" si="15"/>
        <v>1130485867</v>
      </c>
      <c r="I52" s="22">
        <f t="shared" si="17"/>
        <v>154052576</v>
      </c>
      <c r="J52" s="15">
        <f t="shared" si="16"/>
        <v>223777813</v>
      </c>
      <c r="K52">
        <v>156654134</v>
      </c>
      <c r="L52">
        <v>293812490</v>
      </c>
      <c r="M52" s="8">
        <f>N52-(J52-K52)</f>
        <v>1063362188</v>
      </c>
      <c r="N52" s="8">
        <f>G52</f>
        <v>1130485867</v>
      </c>
    </row>
    <row r="53" spans="1:14">
      <c r="A53" s="3" t="s">
        <v>72</v>
      </c>
      <c r="B53" t="str" cm="1">
        <f t="array" ref="B53:D53">_xlfn.TEXTSPLIT(A53," ")</f>
        <v>3460616091</v>
      </c>
      <c r="C53" t="str">
        <v>3829709201</v>
      </c>
      <c r="D53" t="str">
        <v>149081</v>
      </c>
      <c r="E53" s="9">
        <f t="shared" si="18"/>
        <v>3829709201</v>
      </c>
      <c r="F53" s="9">
        <f t="shared" si="18"/>
        <v>149081</v>
      </c>
      <c r="G53" s="9">
        <f t="shared" si="15"/>
        <v>3829858281</v>
      </c>
      <c r="I53" s="14">
        <f t="shared" si="17"/>
        <v>3460616091</v>
      </c>
      <c r="J53" s="14">
        <f t="shared" si="16"/>
        <v>3460765171</v>
      </c>
    </row>
    <row r="54" spans="1:14">
      <c r="A54" s="3" t="s">
        <v>73</v>
      </c>
      <c r="B54" t="str" cm="1">
        <f t="array" ref="B54:D54">_xlfn.TEXTSPLIT(A54," ")</f>
        <v>881951467</v>
      </c>
      <c r="C54" t="str">
        <v>480014985</v>
      </c>
      <c r="D54" t="str">
        <v>9494517</v>
      </c>
      <c r="E54" s="9">
        <f t="shared" si="18"/>
        <v>480014985</v>
      </c>
      <c r="F54" s="9">
        <f t="shared" si="18"/>
        <v>9494517</v>
      </c>
      <c r="G54" s="9">
        <f t="shared" si="15"/>
        <v>489509501</v>
      </c>
      <c r="I54" s="14">
        <f t="shared" si="17"/>
        <v>881951467</v>
      </c>
      <c r="J54" s="14">
        <f t="shared" si="16"/>
        <v>891445983</v>
      </c>
    </row>
    <row r="55" spans="1:14">
      <c r="A55" s="3" t="s">
        <v>74</v>
      </c>
      <c r="B55" t="str" cm="1">
        <f t="array" ref="B55:D55">_xlfn.TEXTSPLIT(A55," ")</f>
        <v>1777535488</v>
      </c>
      <c r="C55" t="str">
        <v>3915581401</v>
      </c>
      <c r="D55" t="str">
        <v>135358522</v>
      </c>
      <c r="E55" s="9">
        <f t="shared" si="18"/>
        <v>3915581401</v>
      </c>
      <c r="F55" s="9">
        <f t="shared" si="18"/>
        <v>135358522</v>
      </c>
      <c r="G55" s="9">
        <f t="shared" si="15"/>
        <v>4050939922</v>
      </c>
      <c r="I55" s="14">
        <f t="shared" si="17"/>
        <v>1777535488</v>
      </c>
      <c r="J55" s="14">
        <f t="shared" si="16"/>
        <v>1912894009</v>
      </c>
    </row>
    <row r="56" spans="1:14">
      <c r="A56" s="3" t="s">
        <v>75</v>
      </c>
      <c r="B56" t="str" cm="1">
        <f t="array" ref="B56:D56">_xlfn.TEXTSPLIT(A56," ")</f>
        <v>2829816284</v>
      </c>
      <c r="C56" t="str">
        <v>1290369026</v>
      </c>
      <c r="D56" t="str">
        <v>84715328</v>
      </c>
      <c r="E56" s="9">
        <f t="shared" si="18"/>
        <v>1290369026</v>
      </c>
      <c r="F56" s="9">
        <f t="shared" si="18"/>
        <v>84715328</v>
      </c>
      <c r="G56" s="9">
        <f t="shared" si="15"/>
        <v>1375084353</v>
      </c>
      <c r="I56" s="14">
        <f t="shared" si="17"/>
        <v>2829816284</v>
      </c>
      <c r="J56" s="14">
        <f t="shared" si="16"/>
        <v>2914531611</v>
      </c>
    </row>
    <row r="57" spans="1:14">
      <c r="A57" s="3" t="s">
        <v>76</v>
      </c>
      <c r="B57" t="str" cm="1">
        <f t="array" ref="B57:D57">_xlfn.TEXTSPLIT(A57," ")</f>
        <v>478947030</v>
      </c>
      <c r="C57" t="str">
        <v>489509502</v>
      </c>
      <c r="D57" t="str">
        <v>171590375</v>
      </c>
      <c r="E57" s="9">
        <f t="shared" si="18"/>
        <v>489509502</v>
      </c>
      <c r="F57" s="9">
        <f t="shared" si="18"/>
        <v>171590375</v>
      </c>
      <c r="G57" s="9">
        <f t="shared" si="15"/>
        <v>661099876</v>
      </c>
      <c r="I57" s="14">
        <f t="shared" si="17"/>
        <v>478947030</v>
      </c>
      <c r="J57" s="14">
        <f t="shared" si="16"/>
        <v>650537404</v>
      </c>
    </row>
    <row r="58" spans="1:14">
      <c r="A58" s="3" t="s">
        <v>77</v>
      </c>
      <c r="B58" t="str" cm="1">
        <f t="array" ref="B58:D58">_xlfn.TEXTSPLIT(A58," ")</f>
        <v>2686813330</v>
      </c>
      <c r="C58" t="str">
        <v>1226966401</v>
      </c>
      <c r="D58" t="str">
        <v>3016625</v>
      </c>
      <c r="E58" s="9">
        <f t="shared" si="18"/>
        <v>1226966401</v>
      </c>
      <c r="F58" s="9">
        <f t="shared" si="18"/>
        <v>3016625</v>
      </c>
      <c r="G58" s="9">
        <f t="shared" si="15"/>
        <v>1229983025</v>
      </c>
      <c r="I58" s="14">
        <f t="shared" si="17"/>
        <v>2686813330</v>
      </c>
      <c r="J58" s="14">
        <f t="shared" si="16"/>
        <v>2689829954</v>
      </c>
    </row>
    <row r="59" spans="1:14">
      <c r="A59" s="3" t="s">
        <v>78</v>
      </c>
      <c r="B59" t="str" cm="1">
        <f t="array" ref="B59:D59">_xlfn.TEXTSPLIT(A59," ")</f>
        <v>3361895650</v>
      </c>
      <c r="C59" t="str">
        <v>3199329827</v>
      </c>
      <c r="D59" t="str">
        <v>98720441</v>
      </c>
      <c r="E59" s="9">
        <f t="shared" si="18"/>
        <v>3199329827</v>
      </c>
      <c r="F59" s="9">
        <f t="shared" si="18"/>
        <v>98720441</v>
      </c>
      <c r="G59" s="9">
        <f t="shared" si="15"/>
        <v>3298050267</v>
      </c>
      <c r="I59" s="14">
        <f t="shared" si="17"/>
        <v>3361895650</v>
      </c>
      <c r="J59" s="14">
        <f t="shared" si="16"/>
        <v>3460616090</v>
      </c>
    </row>
    <row r="60" spans="1:14">
      <c r="A60" s="3" t="s">
        <v>79</v>
      </c>
      <c r="B60" t="str" cm="1">
        <f t="array" ref="B60:D60">_xlfn.TEXTSPLIT(A60," ")</f>
        <v>1226966401</v>
      </c>
      <c r="C60" t="str">
        <v>1375084354</v>
      </c>
      <c r="D60" t="str">
        <v>550569087</v>
      </c>
      <c r="E60" s="9">
        <f t="shared" si="18"/>
        <v>1375084354</v>
      </c>
      <c r="F60" s="9">
        <f t="shared" si="18"/>
        <v>550569087</v>
      </c>
      <c r="G60" s="9">
        <f t="shared" si="15"/>
        <v>1925653440</v>
      </c>
      <c r="I60" s="16">
        <f t="shared" si="17"/>
        <v>1226966401</v>
      </c>
      <c r="J60" s="16">
        <f t="shared" si="16"/>
        <v>1777535487</v>
      </c>
    </row>
    <row r="61" spans="1:14">
      <c r="A61" s="3" t="s">
        <v>80</v>
      </c>
      <c r="B61" t="str" cm="1">
        <f t="array" ref="B61:D61">_xlfn.TEXTSPLIT(A61," ")</f>
        <v>3515610257</v>
      </c>
      <c r="C61" t="str">
        <v>4050939923</v>
      </c>
      <c r="D61" t="str">
        <v>58644109</v>
      </c>
      <c r="E61" s="9">
        <f t="shared" si="18"/>
        <v>4050939923</v>
      </c>
      <c r="F61" s="9">
        <f t="shared" si="18"/>
        <v>58644109</v>
      </c>
      <c r="G61" s="9">
        <f t="shared" si="15"/>
        <v>4109584031</v>
      </c>
      <c r="I61" s="14">
        <f t="shared" si="17"/>
        <v>3515610257</v>
      </c>
      <c r="J61" s="14">
        <f t="shared" si="16"/>
        <v>3574254365</v>
      </c>
    </row>
    <row r="62" spans="1:14">
      <c r="A62" s="3" t="s">
        <v>81</v>
      </c>
      <c r="B62" t="str" cm="1">
        <f t="array" ref="B62:D62">_xlfn.TEXTSPLIT(A62," ")</f>
        <v>650537405</v>
      </c>
      <c r="C62" t="str">
        <v>926192552</v>
      </c>
      <c r="D62" t="str">
        <v>120373963</v>
      </c>
      <c r="E62" s="9">
        <f t="shared" si="18"/>
        <v>926192552</v>
      </c>
      <c r="F62" s="9">
        <f t="shared" si="18"/>
        <v>120373963</v>
      </c>
      <c r="G62" s="9">
        <f t="shared" si="15"/>
        <v>1046566514</v>
      </c>
      <c r="I62" s="14">
        <f t="shared" si="17"/>
        <v>650537405</v>
      </c>
      <c r="J62" s="14">
        <f t="shared" si="16"/>
        <v>770911367</v>
      </c>
    </row>
    <row r="63" spans="1:14">
      <c r="A63" s="3" t="s">
        <v>82</v>
      </c>
      <c r="B63" t="str" cm="1">
        <f t="array" ref="B63:D63">_xlfn.TEXTSPLIT(A63," ")</f>
        <v>4100110660</v>
      </c>
      <c r="C63" t="str">
        <v>1929196102</v>
      </c>
      <c r="D63" t="str">
        <v>194856636</v>
      </c>
      <c r="E63" s="9">
        <f t="shared" si="18"/>
        <v>1929196102</v>
      </c>
      <c r="F63" s="9">
        <f t="shared" si="18"/>
        <v>194856636</v>
      </c>
      <c r="G63" s="9">
        <f t="shared" si="15"/>
        <v>2124052737</v>
      </c>
      <c r="I63" s="22">
        <f t="shared" si="17"/>
        <v>4100110660</v>
      </c>
      <c r="J63" s="22">
        <f t="shared" si="16"/>
        <v>4294967295</v>
      </c>
      <c r="K63">
        <v>4212177162</v>
      </c>
      <c r="L63">
        <v>4216894451</v>
      </c>
      <c r="M63" s="8">
        <f>E63+(K63-I63)</f>
        <v>2041262604</v>
      </c>
      <c r="N63" s="8">
        <f>M63+L63-K63</f>
        <v>2045979893</v>
      </c>
    </row>
    <row r="64" spans="1:14">
      <c r="A64" s="3" t="s">
        <v>83</v>
      </c>
      <c r="B64" t="str" cm="1">
        <f t="array" ref="B64:D64">_xlfn.TEXTSPLIT(A64," ")</f>
        <v>1912894010</v>
      </c>
      <c r="C64" t="str">
        <v>2708676161</v>
      </c>
      <c r="D64" t="str">
        <v>323741311</v>
      </c>
      <c r="E64" s="9">
        <f t="shared" si="18"/>
        <v>2708676161</v>
      </c>
      <c r="F64" s="9">
        <f t="shared" si="18"/>
        <v>323741311</v>
      </c>
      <c r="G64" s="9">
        <f t="shared" si="15"/>
        <v>3032417471</v>
      </c>
      <c r="I64" s="14">
        <f t="shared" si="17"/>
        <v>1912894010</v>
      </c>
      <c r="J64" s="14">
        <f t="shared" si="16"/>
        <v>2236635320</v>
      </c>
    </row>
    <row r="65" spans="1:14">
      <c r="A65" s="3" t="s">
        <v>84</v>
      </c>
      <c r="B65" t="str" cm="1">
        <f t="array" ref="B65:D65">_xlfn.TEXTSPLIT(A65," ")</f>
        <v>3460765172</v>
      </c>
      <c r="C65" t="str">
        <v>2264039067</v>
      </c>
      <c r="D65" t="str">
        <v>54845085</v>
      </c>
      <c r="E65" s="9">
        <f t="shared" si="18"/>
        <v>2264039067</v>
      </c>
      <c r="F65" s="9">
        <f t="shared" si="18"/>
        <v>54845085</v>
      </c>
      <c r="G65" s="9">
        <f t="shared" si="15"/>
        <v>2318884151</v>
      </c>
      <c r="I65" s="14">
        <f t="shared" si="17"/>
        <v>3460765172</v>
      </c>
      <c r="J65" s="14">
        <f t="shared" si="16"/>
        <v>3515610256</v>
      </c>
    </row>
    <row r="66" spans="1:14">
      <c r="A66" s="3" t="s">
        <v>85</v>
      </c>
      <c r="B66" t="str" cm="1">
        <f t="array" ref="B66:D66">_xlfn.TEXTSPLIT(A66," ")</f>
        <v>898932898</v>
      </c>
      <c r="C66" t="str">
        <v>0</v>
      </c>
      <c r="D66" t="str">
        <v>10055892</v>
      </c>
      <c r="E66" s="9">
        <f t="shared" si="18"/>
        <v>0</v>
      </c>
      <c r="F66" s="9">
        <f t="shared" si="18"/>
        <v>10055892</v>
      </c>
      <c r="G66" s="9">
        <f t="shared" si="15"/>
        <v>10055891</v>
      </c>
      <c r="I66" s="14">
        <f t="shared" si="17"/>
        <v>898932898</v>
      </c>
      <c r="J66" s="14">
        <f t="shared" si="16"/>
        <v>908988789</v>
      </c>
    </row>
    <row r="67" spans="1:14">
      <c r="A67" s="3" t="s">
        <v>86</v>
      </c>
      <c r="B67" t="str" cm="1">
        <f t="array" ref="B67:D67">_xlfn.TEXTSPLIT(A67," ")</f>
        <v>891445984</v>
      </c>
      <c r="C67" t="str">
        <v>265225108</v>
      </c>
      <c r="D67" t="str">
        <v>7486914</v>
      </c>
      <c r="E67" s="9">
        <f t="shared" si="18"/>
        <v>265225108</v>
      </c>
      <c r="F67" s="9">
        <f t="shared" si="18"/>
        <v>7486914</v>
      </c>
      <c r="G67" s="9">
        <f t="shared" si="15"/>
        <v>272712021</v>
      </c>
      <c r="I67" s="14">
        <f t="shared" si="17"/>
        <v>891445984</v>
      </c>
      <c r="J67" s="14">
        <f t="shared" si="16"/>
        <v>898932897</v>
      </c>
    </row>
    <row r="68" spans="1:14">
      <c r="A68" s="3" t="s">
        <v>87</v>
      </c>
      <c r="B68" t="str" cm="1">
        <f t="array" ref="B68:D68">_xlfn.TEXTSPLIT(A68," ")</f>
        <v>2914531612</v>
      </c>
      <c r="C68" t="str">
        <v>3298050268</v>
      </c>
      <c r="D68" t="str">
        <v>195246132</v>
      </c>
      <c r="E68" s="9">
        <f t="shared" si="18"/>
        <v>3298050268</v>
      </c>
      <c r="F68" s="9">
        <f t="shared" si="18"/>
        <v>195246132</v>
      </c>
      <c r="G68" s="9">
        <f t="shared" si="15"/>
        <v>3493296399</v>
      </c>
      <c r="I68" s="14">
        <f t="shared" si="17"/>
        <v>2914531612</v>
      </c>
      <c r="J68" s="14">
        <f t="shared" si="16"/>
        <v>3109777743</v>
      </c>
    </row>
    <row r="69" spans="1:14">
      <c r="A69" s="3" t="s">
        <v>88</v>
      </c>
      <c r="B69" t="str" cm="1">
        <f t="array" ref="B69:D69">_xlfn.TEXTSPLIT(A69," ")</f>
        <v>2572921520</v>
      </c>
      <c r="C69" t="str">
        <v>2318884152</v>
      </c>
      <c r="D69" t="str">
        <v>113891810</v>
      </c>
      <c r="E69" s="9">
        <f t="shared" si="18"/>
        <v>2318884152</v>
      </c>
      <c r="F69" s="9">
        <f t="shared" si="18"/>
        <v>113891810</v>
      </c>
      <c r="G69" s="9">
        <f t="shared" si="15"/>
        <v>2432775961</v>
      </c>
      <c r="I69" s="14">
        <f t="shared" si="17"/>
        <v>2572921520</v>
      </c>
      <c r="J69" s="14">
        <f t="shared" si="16"/>
        <v>2686813329</v>
      </c>
    </row>
    <row r="70" spans="1:14">
      <c r="A70" s="3" t="s">
        <v>89</v>
      </c>
      <c r="B70" t="str" cm="1">
        <f t="array" ref="B70:D70">_xlfn.TEXTSPLIT(A70," ")</f>
        <v>961272608</v>
      </c>
      <c r="C70" t="str">
        <v>272712022</v>
      </c>
      <c r="D70" t="str">
        <v>155658520</v>
      </c>
      <c r="E70" s="9">
        <f t="shared" si="18"/>
        <v>272712022</v>
      </c>
      <c r="F70" s="9">
        <f t="shared" si="18"/>
        <v>155658520</v>
      </c>
      <c r="G70" s="9">
        <f t="shared" si="15"/>
        <v>428370541</v>
      </c>
      <c r="I70" s="14">
        <f t="shared" si="17"/>
        <v>961272608</v>
      </c>
      <c r="J70" s="14">
        <f t="shared" si="16"/>
        <v>1116931127</v>
      </c>
    </row>
    <row r="71" spans="1:14">
      <c r="A71" s="3" t="s">
        <v>90</v>
      </c>
      <c r="B71" t="str" cm="1">
        <f t="array" ref="B71:D71">_xlfn.TEXTSPLIT(A71," ")</f>
        <v>908988790</v>
      </c>
      <c r="C71" t="str">
        <v>1130485868</v>
      </c>
      <c r="D71" t="str">
        <v>639375</v>
      </c>
      <c r="E71" s="9">
        <f t="shared" si="18"/>
        <v>1130485868</v>
      </c>
      <c r="F71" s="9">
        <f t="shared" si="18"/>
        <v>639375</v>
      </c>
      <c r="G71" s="9">
        <f t="shared" si="15"/>
        <v>1131125242</v>
      </c>
      <c r="I71" s="14">
        <f t="shared" si="17"/>
        <v>908988790</v>
      </c>
      <c r="J71" s="14">
        <f t="shared" si="16"/>
        <v>909628164</v>
      </c>
    </row>
    <row r="72" spans="1:14">
      <c r="A72" s="3" t="s">
        <v>91</v>
      </c>
      <c r="B72" t="str" cm="1">
        <f t="array" ref="B72:D72">_xlfn.TEXTSPLIT(A72," ")</f>
        <v>2236635321</v>
      </c>
      <c r="C72" t="str">
        <v>2432775962</v>
      </c>
      <c r="D72" t="str">
        <v>121814855</v>
      </c>
      <c r="E72" s="9">
        <f t="shared" si="18"/>
        <v>2432775962</v>
      </c>
      <c r="F72" s="9">
        <f t="shared" si="18"/>
        <v>121814855</v>
      </c>
      <c r="G72" s="9">
        <f t="shared" si="15"/>
        <v>2554590816</v>
      </c>
      <c r="I72" s="14">
        <f t="shared" si="17"/>
        <v>2236635321</v>
      </c>
      <c r="J72" s="14">
        <f t="shared" si="16"/>
        <v>2358450175</v>
      </c>
    </row>
    <row r="73" spans="1:14">
      <c r="A73" s="3"/>
    </row>
    <row r="74" spans="1:14">
      <c r="A74" s="3" t="s">
        <v>13</v>
      </c>
      <c r="E74" t="s">
        <v>217</v>
      </c>
      <c r="I74" t="s">
        <v>216</v>
      </c>
    </row>
    <row r="75" spans="1:14">
      <c r="A75" s="3" t="s">
        <v>92</v>
      </c>
      <c r="B75" t="str" cm="1">
        <f t="array" ref="B75:D75">_xlfn.TEXTSPLIT(A75," ")</f>
        <v>2821176146</v>
      </c>
      <c r="C75" t="str">
        <v>2286693663</v>
      </c>
      <c r="D75" t="str">
        <v>106119314</v>
      </c>
      <c r="E75" s="9">
        <f t="shared" ref="E75:F90" si="19">VALUE(C75)</f>
        <v>2286693663</v>
      </c>
      <c r="F75" s="9">
        <f t="shared" si="19"/>
        <v>106119314</v>
      </c>
      <c r="G75" s="9">
        <f t="shared" ref="G75:G98" si="20">E75+F75-1</f>
        <v>2392812976</v>
      </c>
      <c r="I75">
        <f>VALUE(B75)</f>
        <v>2821176146</v>
      </c>
      <c r="J75">
        <f t="shared" ref="J75:J98" si="21">I75+F75-1</f>
        <v>2927295459</v>
      </c>
    </row>
    <row r="76" spans="1:14">
      <c r="A76" s="3" t="s">
        <v>93</v>
      </c>
      <c r="B76" t="str" cm="1">
        <f t="array" ref="B76:D76">_xlfn.TEXTSPLIT(A76," ")</f>
        <v>3822234587</v>
      </c>
      <c r="C76" t="str">
        <v>2463633329</v>
      </c>
      <c r="D76" t="str">
        <v>180779736</v>
      </c>
      <c r="E76" s="9">
        <f t="shared" si="19"/>
        <v>2463633329</v>
      </c>
      <c r="F76" s="9">
        <f t="shared" si="19"/>
        <v>180779736</v>
      </c>
      <c r="G76" s="9">
        <f t="shared" si="20"/>
        <v>2644413064</v>
      </c>
      <c r="I76">
        <f t="shared" ref="I76:I98" si="22">VALUE(B76)</f>
        <v>3822234587</v>
      </c>
      <c r="J76">
        <f t="shared" si="21"/>
        <v>4003014322</v>
      </c>
    </row>
    <row r="77" spans="1:14">
      <c r="A77" s="3" t="s">
        <v>94</v>
      </c>
      <c r="B77" t="str" cm="1">
        <f t="array" ref="B77:D77">_xlfn.TEXTSPLIT(A77," ")</f>
        <v>1725724347</v>
      </c>
      <c r="C77" t="str">
        <v>2842879211</v>
      </c>
      <c r="D77" t="str">
        <v>104224606</v>
      </c>
      <c r="E77" s="9">
        <f t="shared" si="19"/>
        <v>2842879211</v>
      </c>
      <c r="F77" s="9">
        <f t="shared" si="19"/>
        <v>104224606</v>
      </c>
      <c r="G77" s="9">
        <f t="shared" si="20"/>
        <v>2947103816</v>
      </c>
      <c r="I77">
        <f t="shared" si="22"/>
        <v>1725724347</v>
      </c>
      <c r="J77">
        <f t="shared" si="21"/>
        <v>1829948952</v>
      </c>
      <c r="M77" t="s">
        <v>223</v>
      </c>
    </row>
    <row r="78" spans="1:14">
      <c r="A78" s="3" t="s">
        <v>95</v>
      </c>
      <c r="B78" t="str" cm="1">
        <f t="array" ref="B78:D78">_xlfn.TEXTSPLIT(A78," ")</f>
        <v>3308097155</v>
      </c>
      <c r="C78" t="str">
        <v>4172728180</v>
      </c>
      <c r="D78" t="str">
        <v>122239116</v>
      </c>
      <c r="E78" s="9">
        <f t="shared" si="19"/>
        <v>4172728180</v>
      </c>
      <c r="F78" s="9">
        <f t="shared" si="19"/>
        <v>122239116</v>
      </c>
      <c r="G78" s="9">
        <f t="shared" si="20"/>
        <v>4294967295</v>
      </c>
      <c r="I78" s="20">
        <f t="shared" si="22"/>
        <v>3308097155</v>
      </c>
      <c r="J78" s="20">
        <f t="shared" si="21"/>
        <v>3430336270</v>
      </c>
      <c r="K78">
        <v>3347546137</v>
      </c>
      <c r="L78">
        <v>3352263426</v>
      </c>
      <c r="M78" s="8">
        <f>E78+K78-I78</f>
        <v>4212177162</v>
      </c>
      <c r="N78" s="8">
        <f>M78+L78-K78</f>
        <v>4216894451</v>
      </c>
    </row>
    <row r="79" spans="1:14">
      <c r="A79" s="3" t="s">
        <v>96</v>
      </c>
      <c r="B79" t="str" cm="1">
        <f t="array" ref="B79:D79">_xlfn.TEXTSPLIT(A79," ")</f>
        <v>3299768179</v>
      </c>
      <c r="C79" t="str">
        <v>2834550235</v>
      </c>
      <c r="D79" t="str">
        <v>8328976</v>
      </c>
      <c r="E79" s="9">
        <f t="shared" si="19"/>
        <v>2834550235</v>
      </c>
      <c r="F79" s="9">
        <f t="shared" si="19"/>
        <v>8328976</v>
      </c>
      <c r="G79" s="9">
        <f t="shared" si="20"/>
        <v>2842879210</v>
      </c>
      <c r="I79">
        <f t="shared" si="22"/>
        <v>3299768179</v>
      </c>
      <c r="J79">
        <f t="shared" si="21"/>
        <v>3308097154</v>
      </c>
    </row>
    <row r="80" spans="1:14">
      <c r="A80" s="3" t="s">
        <v>97</v>
      </c>
      <c r="B80" t="str" cm="1">
        <f t="array" ref="B80:D80">_xlfn.TEXTSPLIT(A80," ")</f>
        <v>525232540</v>
      </c>
      <c r="C80" t="str">
        <v>357109336</v>
      </c>
      <c r="D80" t="str">
        <v>38255672</v>
      </c>
      <c r="E80" s="9">
        <f t="shared" si="19"/>
        <v>357109336</v>
      </c>
      <c r="F80" s="9">
        <f t="shared" si="19"/>
        <v>38255672</v>
      </c>
      <c r="G80" s="9">
        <f t="shared" si="20"/>
        <v>395365007</v>
      </c>
      <c r="I80">
        <f t="shared" si="22"/>
        <v>525232540</v>
      </c>
      <c r="J80">
        <f t="shared" si="21"/>
        <v>563488211</v>
      </c>
    </row>
    <row r="81" spans="1:14">
      <c r="A81" s="3" t="s">
        <v>98</v>
      </c>
      <c r="B81" t="str" cm="1">
        <f t="array" ref="B81:D81">_xlfn.TEXTSPLIT(A81," ")</f>
        <v>751267412</v>
      </c>
      <c r="C81" t="str">
        <v>803626289</v>
      </c>
      <c r="D81" t="str">
        <v>867213460</v>
      </c>
      <c r="E81" s="9">
        <f t="shared" si="19"/>
        <v>803626289</v>
      </c>
      <c r="F81" s="9">
        <f t="shared" si="19"/>
        <v>867213460</v>
      </c>
      <c r="G81" s="9">
        <f t="shared" si="20"/>
        <v>1670839748</v>
      </c>
      <c r="I81" s="20">
        <f t="shared" si="22"/>
        <v>751267412</v>
      </c>
      <c r="J81" s="20">
        <f t="shared" si="21"/>
        <v>1618480871</v>
      </c>
      <c r="K81" s="21">
        <v>1144627820</v>
      </c>
      <c r="L81">
        <v>1146795195</v>
      </c>
      <c r="M81" s="17">
        <f>E81+K81-I81</f>
        <v>1196986697</v>
      </c>
      <c r="N81" s="8">
        <f>M81+L81-K81</f>
        <v>1199154072</v>
      </c>
    </row>
    <row r="82" spans="1:14">
      <c r="A82" s="3" t="s">
        <v>99</v>
      </c>
      <c r="B82" t="str" cm="1">
        <f t="array" ref="B82:D82">_xlfn.TEXTSPLIT(A82," ")</f>
        <v>2181067610</v>
      </c>
      <c r="C82" t="str">
        <v>2392812977</v>
      </c>
      <c r="D82" t="str">
        <v>70820352</v>
      </c>
      <c r="E82" s="9">
        <f t="shared" si="19"/>
        <v>2392812977</v>
      </c>
      <c r="F82" s="9">
        <f t="shared" si="19"/>
        <v>70820352</v>
      </c>
      <c r="G82" s="9">
        <f t="shared" si="20"/>
        <v>2463633328</v>
      </c>
      <c r="I82">
        <f t="shared" si="22"/>
        <v>2181067610</v>
      </c>
      <c r="J82">
        <f t="shared" si="21"/>
        <v>2251887961</v>
      </c>
      <c r="K82">
        <v>1170025919</v>
      </c>
      <c r="L82">
        <v>1246953807</v>
      </c>
      <c r="M82" s="8">
        <f>E81+K82-I81</f>
        <v>1222384796</v>
      </c>
      <c r="N82" s="8">
        <f>M82+L82-K82</f>
        <v>1299312684</v>
      </c>
    </row>
    <row r="83" spans="1:14">
      <c r="A83" s="3" t="s">
        <v>100</v>
      </c>
      <c r="B83" t="str" cm="1">
        <f t="array" ref="B83:D83">_xlfn.TEXTSPLIT(A83," ")</f>
        <v>2251887962</v>
      </c>
      <c r="C83" t="str">
        <v>2644413065</v>
      </c>
      <c r="D83" t="str">
        <v>134698828</v>
      </c>
      <c r="E83" s="9">
        <f t="shared" si="19"/>
        <v>2644413065</v>
      </c>
      <c r="F83" s="9">
        <f t="shared" si="19"/>
        <v>134698828</v>
      </c>
      <c r="G83" s="9">
        <f t="shared" si="20"/>
        <v>2779111892</v>
      </c>
      <c r="I83">
        <f t="shared" si="22"/>
        <v>2251887962</v>
      </c>
      <c r="J83">
        <f t="shared" si="21"/>
        <v>2386586789</v>
      </c>
    </row>
    <row r="84" spans="1:14">
      <c r="A84" s="3" t="s">
        <v>101</v>
      </c>
      <c r="B84" t="str" cm="1">
        <f t="array" ref="B84:D84">_xlfn.TEXTSPLIT(A84," ")</f>
        <v>3430336271</v>
      </c>
      <c r="C84" t="str">
        <v>3994876090</v>
      </c>
      <c r="D84" t="str">
        <v>163182805</v>
      </c>
      <c r="E84" s="9">
        <f t="shared" si="19"/>
        <v>3994876090</v>
      </c>
      <c r="F84" s="9">
        <f t="shared" si="19"/>
        <v>163182805</v>
      </c>
      <c r="G84" s="9">
        <f t="shared" si="20"/>
        <v>4158058894</v>
      </c>
      <c r="I84">
        <f t="shared" si="22"/>
        <v>3430336271</v>
      </c>
      <c r="J84">
        <f t="shared" si="21"/>
        <v>3593519075</v>
      </c>
    </row>
    <row r="85" spans="1:14">
      <c r="A85" s="3" t="s">
        <v>102</v>
      </c>
      <c r="B85" t="str" cm="1">
        <f t="array" ref="B85:D85">_xlfn.TEXTSPLIT(A85," ")</f>
        <v>357109336</v>
      </c>
      <c r="C85" t="str">
        <v>395365008</v>
      </c>
      <c r="D85" t="str">
        <v>62712446</v>
      </c>
      <c r="E85" s="9">
        <f t="shared" si="19"/>
        <v>395365008</v>
      </c>
      <c r="F85" s="9">
        <f t="shared" si="19"/>
        <v>62712446</v>
      </c>
      <c r="G85" s="9">
        <f t="shared" si="20"/>
        <v>458077453</v>
      </c>
      <c r="I85" s="9">
        <f t="shared" si="22"/>
        <v>357109336</v>
      </c>
      <c r="J85" s="9">
        <f t="shared" si="21"/>
        <v>419821781</v>
      </c>
      <c r="K85" s="12">
        <v>156654134</v>
      </c>
      <c r="L85" s="12">
        <v>293812490</v>
      </c>
      <c r="M85" s="8">
        <f>K85</f>
        <v>156654134</v>
      </c>
      <c r="N85" s="8">
        <f>L85</f>
        <v>293812490</v>
      </c>
    </row>
    <row r="86" spans="1:14">
      <c r="A86" s="3" t="s">
        <v>103</v>
      </c>
      <c r="B86" t="str" cm="1">
        <f t="array" ref="B86:D86">_xlfn.TEXTSPLIT(A86," ")</f>
        <v>3646455511</v>
      </c>
      <c r="C86" t="str">
        <v>2158365540</v>
      </c>
      <c r="D86" t="str">
        <v>128328123</v>
      </c>
      <c r="E86" s="9">
        <f t="shared" si="19"/>
        <v>2158365540</v>
      </c>
      <c r="F86" s="9">
        <f t="shared" si="19"/>
        <v>128328123</v>
      </c>
      <c r="G86" s="9">
        <f t="shared" si="20"/>
        <v>2286693662</v>
      </c>
      <c r="I86">
        <f t="shared" si="22"/>
        <v>3646455511</v>
      </c>
      <c r="J86">
        <f t="shared" si="21"/>
        <v>3774783633</v>
      </c>
    </row>
    <row r="87" spans="1:14">
      <c r="A87" s="3" t="s">
        <v>104</v>
      </c>
      <c r="B87" t="str" cm="1">
        <f t="array" ref="B87:D87">_xlfn.TEXTSPLIT(A87," ")</f>
        <v>3084834769</v>
      </c>
      <c r="C87" t="str">
        <v>2947103817</v>
      </c>
      <c r="D87" t="str">
        <v>214933410</v>
      </c>
      <c r="E87" s="9">
        <f t="shared" si="19"/>
        <v>2947103817</v>
      </c>
      <c r="F87" s="9">
        <f t="shared" si="19"/>
        <v>214933410</v>
      </c>
      <c r="G87" s="9">
        <f t="shared" si="20"/>
        <v>3162037226</v>
      </c>
      <c r="I87">
        <f t="shared" si="22"/>
        <v>3084834769</v>
      </c>
      <c r="J87">
        <f t="shared" si="21"/>
        <v>3299768178</v>
      </c>
    </row>
    <row r="88" spans="1:14">
      <c r="A88" s="3" t="s">
        <v>105</v>
      </c>
      <c r="B88" t="str" cm="1">
        <f t="array" ref="B88:D88">_xlfn.TEXTSPLIT(A88," ")</f>
        <v>1618480872</v>
      </c>
      <c r="C88" t="str">
        <v>3954660777</v>
      </c>
      <c r="D88" t="str">
        <v>40215313</v>
      </c>
      <c r="E88" s="9">
        <f t="shared" si="19"/>
        <v>3954660777</v>
      </c>
      <c r="F88" s="9">
        <f t="shared" si="19"/>
        <v>40215313</v>
      </c>
      <c r="G88" s="9">
        <f t="shared" si="20"/>
        <v>3994876089</v>
      </c>
      <c r="I88">
        <f t="shared" si="22"/>
        <v>1618480872</v>
      </c>
      <c r="J88">
        <f t="shared" si="21"/>
        <v>1658696184</v>
      </c>
    </row>
    <row r="89" spans="1:14">
      <c r="A89" s="3" t="s">
        <v>106</v>
      </c>
      <c r="B89" t="str" cm="1">
        <f t="array" ref="B89:D89">_xlfn.TEXTSPLIT(A89," ")</f>
        <v>1673365470</v>
      </c>
      <c r="C89" t="str">
        <v>751267412</v>
      </c>
      <c r="D89" t="str">
        <v>52358877</v>
      </c>
      <c r="E89" s="9">
        <f t="shared" si="19"/>
        <v>751267412</v>
      </c>
      <c r="F89" s="9">
        <f t="shared" si="19"/>
        <v>52358877</v>
      </c>
      <c r="G89" s="9">
        <f t="shared" si="20"/>
        <v>803626288</v>
      </c>
      <c r="I89">
        <f t="shared" si="22"/>
        <v>1673365470</v>
      </c>
      <c r="J89">
        <f t="shared" si="21"/>
        <v>1725724346</v>
      </c>
    </row>
    <row r="90" spans="1:14">
      <c r="A90" s="3" t="s">
        <v>107</v>
      </c>
      <c r="B90" t="str" cm="1">
        <f t="array" ref="B90:D90">_xlfn.TEXTSPLIT(A90," ")</f>
        <v>2927295460</v>
      </c>
      <c r="C90" t="str">
        <v>3797121468</v>
      </c>
      <c r="D90" t="str">
        <v>157539309</v>
      </c>
      <c r="E90" s="9">
        <f t="shared" si="19"/>
        <v>3797121468</v>
      </c>
      <c r="F90" s="9">
        <f t="shared" si="19"/>
        <v>157539309</v>
      </c>
      <c r="G90" s="9">
        <f t="shared" si="20"/>
        <v>3954660776</v>
      </c>
      <c r="I90">
        <f t="shared" si="22"/>
        <v>2927295460</v>
      </c>
      <c r="J90">
        <f t="shared" si="21"/>
        <v>3084834768</v>
      </c>
    </row>
    <row r="91" spans="1:14">
      <c r="A91" s="3" t="s">
        <v>108</v>
      </c>
      <c r="B91" t="str" cm="1">
        <f t="array" ref="B91:D91">_xlfn.TEXTSPLIT(A91," ")</f>
        <v>2386586790</v>
      </c>
      <c r="C91" t="str">
        <v>1723776184</v>
      </c>
      <c r="D91" t="str">
        <v>434589356</v>
      </c>
      <c r="E91" s="9">
        <f t="shared" ref="E91:F98" si="23">VALUE(C91)</f>
        <v>1723776184</v>
      </c>
      <c r="F91" s="9">
        <f t="shared" si="23"/>
        <v>434589356</v>
      </c>
      <c r="G91" s="9">
        <f t="shared" si="20"/>
        <v>2158365539</v>
      </c>
      <c r="I91">
        <f t="shared" si="22"/>
        <v>2386586790</v>
      </c>
      <c r="J91">
        <f t="shared" si="21"/>
        <v>2821176145</v>
      </c>
    </row>
    <row r="92" spans="1:14">
      <c r="A92" s="3" t="s">
        <v>109</v>
      </c>
      <c r="B92" t="str" cm="1">
        <f t="array" ref="B92:D92">_xlfn.TEXTSPLIT(A92," ")</f>
        <v>3774783634</v>
      </c>
      <c r="C92" t="str">
        <v>2779111893</v>
      </c>
      <c r="D92" t="str">
        <v>47450953</v>
      </c>
      <c r="E92" s="9">
        <f t="shared" si="23"/>
        <v>2779111893</v>
      </c>
      <c r="F92" s="9">
        <f t="shared" si="23"/>
        <v>47450953</v>
      </c>
      <c r="G92" s="9">
        <f t="shared" si="20"/>
        <v>2826562845</v>
      </c>
      <c r="I92">
        <f t="shared" si="22"/>
        <v>3774783634</v>
      </c>
      <c r="J92">
        <f t="shared" si="21"/>
        <v>3822234586</v>
      </c>
    </row>
    <row r="93" spans="1:14">
      <c r="A93" s="3" t="s">
        <v>110</v>
      </c>
      <c r="B93" t="str" cm="1">
        <f t="array" ref="B93:D93">_xlfn.TEXTSPLIT(A93," ")</f>
        <v>4003014323</v>
      </c>
      <c r="C93" t="str">
        <v>3162037227</v>
      </c>
      <c r="D93" t="str">
        <v>291952973</v>
      </c>
      <c r="E93" s="9">
        <f t="shared" si="23"/>
        <v>3162037227</v>
      </c>
      <c r="F93" s="9">
        <f t="shared" si="23"/>
        <v>291952973</v>
      </c>
      <c r="G93" s="9">
        <f t="shared" si="20"/>
        <v>3453990199</v>
      </c>
      <c r="I93">
        <f t="shared" si="22"/>
        <v>4003014323</v>
      </c>
      <c r="J93">
        <f t="shared" si="21"/>
        <v>4294967295</v>
      </c>
    </row>
    <row r="94" spans="1:14">
      <c r="A94" s="3" t="s">
        <v>111</v>
      </c>
      <c r="B94" t="str" cm="1">
        <f t="array" ref="B94:D94">_xlfn.TEXTSPLIT(A94," ")</f>
        <v>419821782</v>
      </c>
      <c r="C94" t="str">
        <v>458077454</v>
      </c>
      <c r="D94" t="str">
        <v>105410758</v>
      </c>
      <c r="E94" s="9">
        <f t="shared" si="23"/>
        <v>458077454</v>
      </c>
      <c r="F94" s="9">
        <f t="shared" si="23"/>
        <v>105410758</v>
      </c>
      <c r="G94" s="9">
        <f t="shared" si="20"/>
        <v>563488211</v>
      </c>
      <c r="I94">
        <f t="shared" si="22"/>
        <v>419821782</v>
      </c>
      <c r="J94">
        <f t="shared" si="21"/>
        <v>525232539</v>
      </c>
    </row>
    <row r="95" spans="1:14">
      <c r="A95" s="3" t="s">
        <v>112</v>
      </c>
      <c r="B95" t="str" cm="1">
        <f t="array" ref="B95:D95">_xlfn.TEXTSPLIT(A95," ")</f>
        <v>3593519076</v>
      </c>
      <c r="C95" t="str">
        <v>1670839749</v>
      </c>
      <c r="D95" t="str">
        <v>52936435</v>
      </c>
      <c r="E95" s="9">
        <f t="shared" si="23"/>
        <v>1670839749</v>
      </c>
      <c r="F95" s="9">
        <f t="shared" si="23"/>
        <v>52936435</v>
      </c>
      <c r="G95" s="9">
        <f t="shared" si="20"/>
        <v>1723776183</v>
      </c>
      <c r="I95">
        <f t="shared" si="22"/>
        <v>3593519076</v>
      </c>
      <c r="J95">
        <f t="shared" si="21"/>
        <v>3646455510</v>
      </c>
    </row>
    <row r="96" spans="1:14">
      <c r="A96" s="3" t="s">
        <v>113</v>
      </c>
      <c r="B96" t="str" cm="1">
        <f t="array" ref="B96:D96">_xlfn.TEXTSPLIT(A96," ")</f>
        <v>1658696185</v>
      </c>
      <c r="C96" t="str">
        <v>4158058895</v>
      </c>
      <c r="D96" t="str">
        <v>14669285</v>
      </c>
      <c r="E96" s="9">
        <f t="shared" si="23"/>
        <v>4158058895</v>
      </c>
      <c r="F96" s="9">
        <f t="shared" si="23"/>
        <v>14669285</v>
      </c>
      <c r="G96" s="9">
        <f t="shared" si="20"/>
        <v>4172728179</v>
      </c>
      <c r="I96">
        <f t="shared" si="22"/>
        <v>1658696185</v>
      </c>
      <c r="J96">
        <f t="shared" si="21"/>
        <v>1673365469</v>
      </c>
    </row>
    <row r="97" spans="1:14">
      <c r="A97" s="3" t="s">
        <v>114</v>
      </c>
      <c r="B97" t="str" cm="1">
        <f t="array" ref="B97:D97">_xlfn.TEXTSPLIT(A97," ")</f>
        <v>2173080221</v>
      </c>
      <c r="C97" t="str">
        <v>2826562846</v>
      </c>
      <c r="D97" t="str">
        <v>7987389</v>
      </c>
      <c r="E97" s="9">
        <f t="shared" si="23"/>
        <v>2826562846</v>
      </c>
      <c r="F97" s="9">
        <f t="shared" si="23"/>
        <v>7987389</v>
      </c>
      <c r="G97" s="9">
        <f t="shared" si="20"/>
        <v>2834550234</v>
      </c>
      <c r="I97">
        <f t="shared" si="22"/>
        <v>2173080221</v>
      </c>
      <c r="J97">
        <f t="shared" si="21"/>
        <v>2181067609</v>
      </c>
    </row>
    <row r="98" spans="1:14">
      <c r="A98" s="3" t="s">
        <v>115</v>
      </c>
      <c r="B98" t="str" cm="1">
        <f t="array" ref="B98:D98">_xlfn.TEXTSPLIT(A98," ")</f>
        <v>1829948953</v>
      </c>
      <c r="C98" t="str">
        <v>3453990200</v>
      </c>
      <c r="D98" t="str">
        <v>343131268</v>
      </c>
      <c r="E98" s="9">
        <f t="shared" si="23"/>
        <v>3453990200</v>
      </c>
      <c r="F98" s="9">
        <f t="shared" si="23"/>
        <v>343131268</v>
      </c>
      <c r="G98" s="9">
        <f t="shared" si="20"/>
        <v>3797121467</v>
      </c>
      <c r="I98">
        <f t="shared" si="22"/>
        <v>1829948953</v>
      </c>
      <c r="J98">
        <f t="shared" si="21"/>
        <v>2173080220</v>
      </c>
    </row>
    <row r="99" spans="1:14">
      <c r="A99" s="3"/>
    </row>
    <row r="100" spans="1:14">
      <c r="A100" s="3" t="s">
        <v>16</v>
      </c>
      <c r="E100" t="s">
        <v>216</v>
      </c>
      <c r="I100" t="s">
        <v>215</v>
      </c>
    </row>
    <row r="101" spans="1:14">
      <c r="A101" s="3" t="s">
        <v>116</v>
      </c>
      <c r="B101" t="str" cm="1">
        <f t="array" ref="B101:D101">_xlfn.TEXTSPLIT(A101," ")</f>
        <v>457330729</v>
      </c>
      <c r="C101" t="str">
        <v>4090205185</v>
      </c>
      <c r="D101" t="str">
        <v>204762111</v>
      </c>
      <c r="E101" s="9">
        <f t="shared" ref="E101:F116" si="24">VALUE(C101)</f>
        <v>4090205185</v>
      </c>
      <c r="F101" s="9">
        <f t="shared" si="24"/>
        <v>204762111</v>
      </c>
      <c r="G101" s="9">
        <f t="shared" ref="G101:G129" si="25">E101+F101-1</f>
        <v>4294967295</v>
      </c>
      <c r="I101">
        <f>VALUE(B101)</f>
        <v>457330729</v>
      </c>
      <c r="J101">
        <f t="shared" ref="J101:J129" si="26">I101+F101-1</f>
        <v>662092839</v>
      </c>
    </row>
    <row r="102" spans="1:14">
      <c r="A102" s="3" t="s">
        <v>117</v>
      </c>
      <c r="B102" t="str" cm="1">
        <f t="array" ref="B102:D102">_xlfn.TEXTSPLIT(A102," ")</f>
        <v>2982196520</v>
      </c>
      <c r="C102" t="str">
        <v>3401667644</v>
      </c>
      <c r="D102" t="str">
        <v>30193953</v>
      </c>
      <c r="E102" s="9">
        <f t="shared" si="24"/>
        <v>3401667644</v>
      </c>
      <c r="F102" s="9">
        <f t="shared" si="24"/>
        <v>30193953</v>
      </c>
      <c r="G102" s="9">
        <f t="shared" si="25"/>
        <v>3431861596</v>
      </c>
      <c r="I102">
        <f t="shared" ref="I102:I129" si="27">VALUE(B102)</f>
        <v>2982196520</v>
      </c>
      <c r="J102">
        <f t="shared" si="26"/>
        <v>3012390472</v>
      </c>
    </row>
    <row r="103" spans="1:14">
      <c r="A103" s="3" t="s">
        <v>118</v>
      </c>
      <c r="B103" t="str" cm="1">
        <f t="array" ref="B103:D103">_xlfn.TEXTSPLIT(A103," ")</f>
        <v>2238727594</v>
      </c>
      <c r="C103" t="str">
        <v>3778270640</v>
      </c>
      <c r="D103" t="str">
        <v>263367024</v>
      </c>
      <c r="E103" s="9">
        <f t="shared" si="24"/>
        <v>3778270640</v>
      </c>
      <c r="F103" s="9">
        <f t="shared" si="24"/>
        <v>263367024</v>
      </c>
      <c r="G103" s="9">
        <f t="shared" si="25"/>
        <v>4041637663</v>
      </c>
      <c r="I103">
        <f t="shared" si="27"/>
        <v>2238727594</v>
      </c>
      <c r="J103">
        <f t="shared" si="26"/>
        <v>2502094617</v>
      </c>
    </row>
    <row r="104" spans="1:14">
      <c r="A104" s="3" t="s">
        <v>119</v>
      </c>
      <c r="B104" t="str" cm="1">
        <f t="array" ref="B104:D104">_xlfn.TEXTSPLIT(A104," ")</f>
        <v>2540710222</v>
      </c>
      <c r="C104" t="str">
        <v>1921368253</v>
      </c>
      <c r="D104" t="str">
        <v>380651678</v>
      </c>
      <c r="E104" s="9">
        <f t="shared" si="24"/>
        <v>1921368253</v>
      </c>
      <c r="F104" s="9">
        <f t="shared" si="24"/>
        <v>380651678</v>
      </c>
      <c r="G104" s="9">
        <f t="shared" si="25"/>
        <v>2302019930</v>
      </c>
      <c r="I104">
        <f t="shared" si="27"/>
        <v>2540710222</v>
      </c>
      <c r="J104">
        <f t="shared" si="26"/>
        <v>2921361899</v>
      </c>
    </row>
    <row r="105" spans="1:14">
      <c r="A105" s="3" t="s">
        <v>120</v>
      </c>
      <c r="B105" t="str" cm="1">
        <f t="array" ref="B105:D105">_xlfn.TEXTSPLIT(A105," ")</f>
        <v>2224576409</v>
      </c>
      <c r="C105" t="str">
        <v>4041637664</v>
      </c>
      <c r="D105" t="str">
        <v>14151185</v>
      </c>
      <c r="E105" s="9">
        <f t="shared" si="24"/>
        <v>4041637664</v>
      </c>
      <c r="F105" s="9">
        <f t="shared" si="24"/>
        <v>14151185</v>
      </c>
      <c r="G105" s="9">
        <f t="shared" si="25"/>
        <v>4055788848</v>
      </c>
      <c r="I105">
        <f t="shared" si="27"/>
        <v>2224576409</v>
      </c>
      <c r="J105">
        <f t="shared" si="26"/>
        <v>2238727593</v>
      </c>
      <c r="M105" t="s">
        <v>228</v>
      </c>
    </row>
    <row r="106" spans="1:14">
      <c r="A106" s="3" t="s">
        <v>121</v>
      </c>
      <c r="B106" t="str" cm="1">
        <f t="array" ref="B106:D106">_xlfn.TEXTSPLIT(A106," ")</f>
        <v>1803946096</v>
      </c>
      <c r="C106" t="str">
        <v>1170025919</v>
      </c>
      <c r="D106" t="str">
        <v>125923944</v>
      </c>
      <c r="E106" s="9">
        <f t="shared" si="24"/>
        <v>1170025919</v>
      </c>
      <c r="F106" s="9">
        <f t="shared" si="24"/>
        <v>125923944</v>
      </c>
      <c r="G106" s="9">
        <f t="shared" si="25"/>
        <v>1295949862</v>
      </c>
      <c r="I106" s="6">
        <f t="shared" si="27"/>
        <v>1803946096</v>
      </c>
      <c r="J106" s="20">
        <f t="shared" si="26"/>
        <v>1929870039</v>
      </c>
      <c r="K106">
        <f>M$132</f>
        <v>1801778720</v>
      </c>
      <c r="L106">
        <f>N$132</f>
        <v>1878706608</v>
      </c>
      <c r="M106" s="10">
        <f>E106</f>
        <v>1170025919</v>
      </c>
      <c r="N106" s="10">
        <f>M106+L106-K106</f>
        <v>1246953807</v>
      </c>
    </row>
    <row r="107" spans="1:14">
      <c r="A107" s="3" t="s">
        <v>122</v>
      </c>
      <c r="B107" t="str" cm="1">
        <f t="array" ref="B107:D107">_xlfn.TEXTSPLIT(A107," ")</f>
        <v>947791690</v>
      </c>
      <c r="C107" t="str">
        <v>3069412788</v>
      </c>
      <c r="D107" t="str">
        <v>65888847</v>
      </c>
      <c r="E107" s="9">
        <f t="shared" si="24"/>
        <v>3069412788</v>
      </c>
      <c r="F107" s="9">
        <f t="shared" si="24"/>
        <v>65888847</v>
      </c>
      <c r="G107" s="9">
        <f t="shared" si="25"/>
        <v>3135301634</v>
      </c>
      <c r="I107">
        <f t="shared" si="27"/>
        <v>947791690</v>
      </c>
      <c r="J107">
        <f t="shared" si="26"/>
        <v>1013680536</v>
      </c>
    </row>
    <row r="108" spans="1:14">
      <c r="A108" s="3" t="s">
        <v>123</v>
      </c>
      <c r="B108" t="str" cm="1">
        <f t="array" ref="B108:D108">_xlfn.TEXTSPLIT(A108," ")</f>
        <v>3354708582</v>
      </c>
      <c r="C108" t="str">
        <v>3597834895</v>
      </c>
      <c r="D108" t="str">
        <v>180435745</v>
      </c>
      <c r="E108" s="9">
        <f t="shared" si="24"/>
        <v>3597834895</v>
      </c>
      <c r="F108" s="9">
        <f t="shared" si="24"/>
        <v>180435745</v>
      </c>
      <c r="G108" s="9">
        <f t="shared" si="25"/>
        <v>3778270639</v>
      </c>
      <c r="I108">
        <f t="shared" si="27"/>
        <v>3354708582</v>
      </c>
      <c r="J108">
        <f t="shared" si="26"/>
        <v>3535144326</v>
      </c>
    </row>
    <row r="109" spans="1:14">
      <c r="A109" s="3" t="s">
        <v>124</v>
      </c>
      <c r="B109" t="str" cm="1">
        <f t="array" ref="B109:D109">_xlfn.TEXTSPLIT(A109," ")</f>
        <v>1173448701</v>
      </c>
      <c r="C109" t="str">
        <v>516297801</v>
      </c>
      <c r="D109" t="str">
        <v>630497395</v>
      </c>
      <c r="E109" s="9">
        <f t="shared" si="24"/>
        <v>516297801</v>
      </c>
      <c r="F109" s="9">
        <f t="shared" si="24"/>
        <v>630497395</v>
      </c>
      <c r="G109" s="9">
        <f t="shared" si="25"/>
        <v>1146795195</v>
      </c>
      <c r="I109" s="20">
        <f t="shared" si="27"/>
        <v>1173448701</v>
      </c>
      <c r="J109" s="6">
        <f t="shared" si="26"/>
        <v>1803946095</v>
      </c>
      <c r="K109" s="21">
        <f>M$132</f>
        <v>1801778720</v>
      </c>
      <c r="L109">
        <f>N$132</f>
        <v>1878706608</v>
      </c>
      <c r="M109" s="17">
        <f>N109-(J109-K109)</f>
        <v>1144627820</v>
      </c>
      <c r="N109" s="13">
        <f>G109</f>
        <v>1146795195</v>
      </c>
    </row>
    <row r="110" spans="1:14">
      <c r="A110" s="3" t="s">
        <v>125</v>
      </c>
      <c r="B110" t="str" cm="1">
        <f t="array" ref="B110:D110">_xlfn.TEXTSPLIT(A110," ")</f>
        <v>4079424710</v>
      </c>
      <c r="C110" t="str">
        <v>2899828022</v>
      </c>
      <c r="D110" t="str">
        <v>88028778</v>
      </c>
      <c r="E110" s="9">
        <f t="shared" si="24"/>
        <v>2899828022</v>
      </c>
      <c r="F110" s="9">
        <f t="shared" si="24"/>
        <v>88028778</v>
      </c>
      <c r="G110" s="9">
        <f t="shared" si="25"/>
        <v>2987856799</v>
      </c>
      <c r="I110">
        <f t="shared" si="27"/>
        <v>4079424710</v>
      </c>
      <c r="J110">
        <f t="shared" si="26"/>
        <v>4167453487</v>
      </c>
    </row>
    <row r="111" spans="1:14">
      <c r="A111" s="3" t="s">
        <v>126</v>
      </c>
      <c r="B111" t="str" cm="1">
        <f t="array" ref="B111:D111">_xlfn.TEXTSPLIT(A111," ")</f>
        <v>1929870040</v>
      </c>
      <c r="C111" t="str">
        <v>1295949863</v>
      </c>
      <c r="D111" t="str">
        <v>294706369</v>
      </c>
      <c r="E111" s="9">
        <f t="shared" si="24"/>
        <v>1295949863</v>
      </c>
      <c r="F111" s="9">
        <f t="shared" si="24"/>
        <v>294706369</v>
      </c>
      <c r="G111" s="9">
        <f t="shared" si="25"/>
        <v>1590656231</v>
      </c>
      <c r="I111" s="9">
        <f t="shared" si="27"/>
        <v>1929870040</v>
      </c>
      <c r="J111">
        <f t="shared" si="26"/>
        <v>2224576408</v>
      </c>
    </row>
    <row r="112" spans="1:14">
      <c r="A112" s="3" t="s">
        <v>127</v>
      </c>
      <c r="B112" t="str" cm="1">
        <f t="array" ref="B112:D112">_xlfn.TEXTSPLIT(A112," ")</f>
        <v>928458849</v>
      </c>
      <c r="C112" t="str">
        <v>495946333</v>
      </c>
      <c r="D112" t="str">
        <v>19332841</v>
      </c>
      <c r="E112" s="9">
        <f t="shared" si="24"/>
        <v>495946333</v>
      </c>
      <c r="F112" s="9">
        <f t="shared" si="24"/>
        <v>19332841</v>
      </c>
      <c r="G112" s="9">
        <f t="shared" si="25"/>
        <v>515279173</v>
      </c>
      <c r="I112">
        <f t="shared" si="27"/>
        <v>928458849</v>
      </c>
      <c r="J112">
        <f t="shared" si="26"/>
        <v>947791689</v>
      </c>
    </row>
    <row r="113" spans="1:14">
      <c r="A113" s="3" t="s">
        <v>128</v>
      </c>
      <c r="B113" t="str" cm="1">
        <f t="array" ref="B113:D113">_xlfn.TEXTSPLIT(A113," ")</f>
        <v>3145865299</v>
      </c>
      <c r="C113" t="str">
        <v>515279174</v>
      </c>
      <c r="D113" t="str">
        <v>1018627</v>
      </c>
      <c r="E113" s="9">
        <f t="shared" si="24"/>
        <v>515279174</v>
      </c>
      <c r="F113" s="9">
        <f t="shared" si="24"/>
        <v>1018627</v>
      </c>
      <c r="G113" s="9">
        <f t="shared" si="25"/>
        <v>516297800</v>
      </c>
      <c r="I113">
        <f t="shared" si="27"/>
        <v>3145865299</v>
      </c>
      <c r="J113">
        <f t="shared" si="26"/>
        <v>3146883925</v>
      </c>
    </row>
    <row r="114" spans="1:14">
      <c r="A114" s="3" t="s">
        <v>129</v>
      </c>
      <c r="B114" t="str" cm="1">
        <f t="array" ref="B114:D114">_xlfn.TEXTSPLIT(A114," ")</f>
        <v>3071616223</v>
      </c>
      <c r="C114" t="str">
        <v>2825578946</v>
      </c>
      <c r="D114" t="str">
        <v>74249076</v>
      </c>
      <c r="E114" s="9">
        <f t="shared" si="24"/>
        <v>2825578946</v>
      </c>
      <c r="F114" s="9">
        <f t="shared" si="24"/>
        <v>74249076</v>
      </c>
      <c r="G114" s="9">
        <f t="shared" si="25"/>
        <v>2899828021</v>
      </c>
      <c r="I114">
        <f t="shared" si="27"/>
        <v>3071616223</v>
      </c>
      <c r="J114">
        <f t="shared" si="26"/>
        <v>3145865298</v>
      </c>
    </row>
    <row r="115" spans="1:14">
      <c r="A115" s="3" t="s">
        <v>130</v>
      </c>
      <c r="B115" t="str" cm="1">
        <f t="array" ref="B115:D115">_xlfn.TEXTSPLIT(A115," ")</f>
        <v>3012390473</v>
      </c>
      <c r="C115" t="str">
        <v>3431861597</v>
      </c>
      <c r="D115" t="str">
        <v>52676537</v>
      </c>
      <c r="E115" s="9">
        <f t="shared" si="24"/>
        <v>3431861597</v>
      </c>
      <c r="F115" s="9">
        <f t="shared" si="24"/>
        <v>52676537</v>
      </c>
      <c r="G115" s="9">
        <f t="shared" si="25"/>
        <v>3484538133</v>
      </c>
      <c r="I115">
        <f t="shared" si="27"/>
        <v>3012390473</v>
      </c>
      <c r="J115">
        <f t="shared" si="26"/>
        <v>3065067009</v>
      </c>
    </row>
    <row r="116" spans="1:14">
      <c r="A116" s="3" t="s">
        <v>131</v>
      </c>
      <c r="B116" t="str" cm="1">
        <f t="array" ref="B116:D116">_xlfn.TEXTSPLIT(A116," ")</f>
        <v>0</v>
      </c>
      <c r="C116" t="str">
        <v>156654134</v>
      </c>
      <c r="D116" t="str">
        <v>174053721</v>
      </c>
      <c r="E116" s="9">
        <f t="shared" si="24"/>
        <v>156654134</v>
      </c>
      <c r="F116" s="9">
        <f t="shared" si="24"/>
        <v>174053721</v>
      </c>
      <c r="G116" s="9">
        <f t="shared" si="25"/>
        <v>330707854</v>
      </c>
      <c r="I116" s="6">
        <f t="shared" si="27"/>
        <v>0</v>
      </c>
      <c r="J116" s="20">
        <f t="shared" si="26"/>
        <v>174053720</v>
      </c>
      <c r="K116">
        <f>M150</f>
        <v>0</v>
      </c>
      <c r="L116">
        <f>N150</f>
        <v>137158356</v>
      </c>
      <c r="M116" s="10">
        <f>E116</f>
        <v>156654134</v>
      </c>
      <c r="N116" s="10">
        <f>M116+L116-K116</f>
        <v>293812490</v>
      </c>
    </row>
    <row r="117" spans="1:14">
      <c r="A117" s="3" t="s">
        <v>132</v>
      </c>
      <c r="B117" t="str" cm="1">
        <f t="array" ref="B117:D117">_xlfn.TEXTSPLIT(A117," ")</f>
        <v>1013680537</v>
      </c>
      <c r="C117" t="str">
        <v>1590656232</v>
      </c>
      <c r="D117" t="str">
        <v>159768164</v>
      </c>
      <c r="E117" s="9">
        <f t="shared" ref="E117:F129" si="28">VALUE(C117)</f>
        <v>1590656232</v>
      </c>
      <c r="F117" s="9">
        <f t="shared" si="28"/>
        <v>159768164</v>
      </c>
      <c r="G117" s="9">
        <f t="shared" si="25"/>
        <v>1750424395</v>
      </c>
      <c r="I117">
        <f t="shared" si="27"/>
        <v>1013680537</v>
      </c>
      <c r="J117">
        <f t="shared" si="26"/>
        <v>1173448700</v>
      </c>
    </row>
    <row r="118" spans="1:14">
      <c r="A118" s="3" t="s">
        <v>133</v>
      </c>
      <c r="B118" t="str" cm="1">
        <f t="array" ref="B118:D118">_xlfn.TEXTSPLIT(A118," ")</f>
        <v>2502094618</v>
      </c>
      <c r="C118" t="str">
        <v>457330729</v>
      </c>
      <c r="D118" t="str">
        <v>38615604</v>
      </c>
      <c r="E118" s="9">
        <f t="shared" si="28"/>
        <v>457330729</v>
      </c>
      <c r="F118" s="9">
        <f t="shared" si="28"/>
        <v>38615604</v>
      </c>
      <c r="G118" s="9">
        <f t="shared" si="25"/>
        <v>495946332</v>
      </c>
      <c r="I118">
        <f t="shared" si="27"/>
        <v>2502094618</v>
      </c>
      <c r="J118">
        <f t="shared" si="26"/>
        <v>2540710221</v>
      </c>
    </row>
    <row r="119" spans="1:14">
      <c r="A119" s="3" t="s">
        <v>134</v>
      </c>
      <c r="B119" t="str" cm="1">
        <f t="array" ref="B119:D119">_xlfn.TEXTSPLIT(A119," ")</f>
        <v>4167453488</v>
      </c>
      <c r="C119" t="str">
        <v>3484538134</v>
      </c>
      <c r="D119" t="str">
        <v>113296761</v>
      </c>
      <c r="E119" s="9">
        <f t="shared" si="28"/>
        <v>3484538134</v>
      </c>
      <c r="F119" s="9">
        <f t="shared" si="28"/>
        <v>113296761</v>
      </c>
      <c r="G119" s="9">
        <f t="shared" si="25"/>
        <v>3597834894</v>
      </c>
      <c r="I119">
        <f t="shared" si="27"/>
        <v>4167453488</v>
      </c>
      <c r="J119">
        <f t="shared" si="26"/>
        <v>4280750248</v>
      </c>
    </row>
    <row r="120" spans="1:14">
      <c r="A120" s="3" t="s">
        <v>135</v>
      </c>
      <c r="B120" t="str" cm="1">
        <f t="array" ref="B120:D120">_xlfn.TEXTSPLIT(A120," ")</f>
        <v>4058703342</v>
      </c>
      <c r="C120" t="str">
        <v>3048691420</v>
      </c>
      <c r="D120" t="str">
        <v>20721368</v>
      </c>
      <c r="E120" s="9">
        <f t="shared" si="28"/>
        <v>3048691420</v>
      </c>
      <c r="F120" s="9">
        <f t="shared" si="28"/>
        <v>20721368</v>
      </c>
      <c r="G120" s="9">
        <f t="shared" si="25"/>
        <v>3069412787</v>
      </c>
      <c r="I120">
        <f t="shared" si="27"/>
        <v>4058703342</v>
      </c>
      <c r="J120">
        <f t="shared" si="26"/>
        <v>4079424709</v>
      </c>
    </row>
    <row r="121" spans="1:14">
      <c r="A121" s="3" t="s">
        <v>136</v>
      </c>
      <c r="B121" t="str" cm="1">
        <f t="array" ref="B121:D121">_xlfn.TEXTSPLIT(A121," ")</f>
        <v>3146883926</v>
      </c>
      <c r="C121" t="str">
        <v>1750424396</v>
      </c>
      <c r="D121" t="str">
        <v>164394644</v>
      </c>
      <c r="E121" s="9">
        <f t="shared" si="28"/>
        <v>1750424396</v>
      </c>
      <c r="F121" s="9">
        <f t="shared" si="28"/>
        <v>164394644</v>
      </c>
      <c r="G121" s="9">
        <f t="shared" si="25"/>
        <v>1914819039</v>
      </c>
      <c r="I121">
        <f t="shared" si="27"/>
        <v>3146883926</v>
      </c>
      <c r="J121">
        <f t="shared" si="26"/>
        <v>3311278569</v>
      </c>
    </row>
    <row r="122" spans="1:14">
      <c r="A122" s="3" t="s">
        <v>137</v>
      </c>
      <c r="B122" t="str" cm="1">
        <f t="array" ref="B122:D122">_xlfn.TEXTSPLIT(A122," ")</f>
        <v>662092840</v>
      </c>
      <c r="C122" t="str">
        <v>3135301635</v>
      </c>
      <c r="D122" t="str">
        <v>266366009</v>
      </c>
      <c r="E122" s="9">
        <f t="shared" si="28"/>
        <v>3135301635</v>
      </c>
      <c r="F122" s="9">
        <f t="shared" si="28"/>
        <v>266366009</v>
      </c>
      <c r="G122" s="9">
        <f t="shared" si="25"/>
        <v>3401667643</v>
      </c>
      <c r="I122" s="20">
        <f t="shared" si="27"/>
        <v>662092840</v>
      </c>
      <c r="J122" s="20">
        <f t="shared" si="26"/>
        <v>928458848</v>
      </c>
      <c r="K122">
        <f>M142</f>
        <v>874337342</v>
      </c>
      <c r="L122">
        <f>N142</f>
        <v>879054631</v>
      </c>
      <c r="M122" s="10">
        <f>E122+K122-I122</f>
        <v>3347546137</v>
      </c>
      <c r="N122" s="10">
        <f>M122+L122-K122</f>
        <v>3352263426</v>
      </c>
    </row>
    <row r="123" spans="1:14">
      <c r="A123" s="3" t="s">
        <v>138</v>
      </c>
      <c r="B123" t="str" cm="1">
        <f t="array" ref="B123:D123">_xlfn.TEXTSPLIT(A123," ")</f>
        <v>174053721</v>
      </c>
      <c r="C123" t="str">
        <v>0</v>
      </c>
      <c r="D123" t="str">
        <v>156654134</v>
      </c>
      <c r="E123" s="9">
        <f t="shared" si="28"/>
        <v>0</v>
      </c>
      <c r="F123" s="9">
        <f t="shared" si="28"/>
        <v>156654134</v>
      </c>
      <c r="G123" s="9">
        <f t="shared" si="25"/>
        <v>156654133</v>
      </c>
      <c r="I123">
        <f t="shared" si="27"/>
        <v>174053721</v>
      </c>
      <c r="J123">
        <f t="shared" si="26"/>
        <v>330707854</v>
      </c>
    </row>
    <row r="124" spans="1:14">
      <c r="A124" s="3" t="s">
        <v>139</v>
      </c>
      <c r="B124" t="str" cm="1">
        <f t="array" ref="B124:D124">_xlfn.TEXTSPLIT(A124," ")</f>
        <v>4280750249</v>
      </c>
      <c r="C124" t="str">
        <v>4055788849</v>
      </c>
      <c r="D124" t="str">
        <v>14217047</v>
      </c>
      <c r="E124" s="9">
        <f t="shared" si="28"/>
        <v>4055788849</v>
      </c>
      <c r="F124" s="9">
        <f t="shared" si="28"/>
        <v>14217047</v>
      </c>
      <c r="G124" s="9">
        <f t="shared" si="25"/>
        <v>4070005895</v>
      </c>
      <c r="I124">
        <f t="shared" si="27"/>
        <v>4280750249</v>
      </c>
      <c r="J124">
        <f t="shared" si="26"/>
        <v>4294967295</v>
      </c>
    </row>
    <row r="125" spans="1:14">
      <c r="A125" s="3" t="s">
        <v>140</v>
      </c>
      <c r="B125" t="str" cm="1">
        <f t="array" ref="B125:D125">_xlfn.TEXTSPLIT(A125," ")</f>
        <v>3311278570</v>
      </c>
      <c r="C125" t="str">
        <v>1146795196</v>
      </c>
      <c r="D125" t="str">
        <v>23230723</v>
      </c>
      <c r="E125" s="9">
        <f t="shared" si="28"/>
        <v>1146795196</v>
      </c>
      <c r="F125" s="9">
        <f t="shared" si="28"/>
        <v>23230723</v>
      </c>
      <c r="G125" s="9">
        <f t="shared" si="25"/>
        <v>1170025918</v>
      </c>
      <c r="I125">
        <f t="shared" si="27"/>
        <v>3311278570</v>
      </c>
      <c r="J125">
        <f t="shared" si="26"/>
        <v>3334509292</v>
      </c>
    </row>
    <row r="126" spans="1:14">
      <c r="A126" s="3" t="s">
        <v>141</v>
      </c>
      <c r="B126" t="str" cm="1">
        <f t="array" ref="B126:D126">_xlfn.TEXTSPLIT(A126," ")</f>
        <v>3334509293</v>
      </c>
      <c r="C126" t="str">
        <v>4070005896</v>
      </c>
      <c r="D126" t="str">
        <v>20199289</v>
      </c>
      <c r="E126" s="9">
        <f t="shared" si="28"/>
        <v>4070005896</v>
      </c>
      <c r="F126" s="9">
        <f t="shared" si="28"/>
        <v>20199289</v>
      </c>
      <c r="G126" s="9">
        <f t="shared" si="25"/>
        <v>4090205184</v>
      </c>
      <c r="I126">
        <f t="shared" si="27"/>
        <v>3334509293</v>
      </c>
      <c r="J126">
        <f t="shared" si="26"/>
        <v>3354708581</v>
      </c>
    </row>
    <row r="127" spans="1:14">
      <c r="A127" s="3" t="s">
        <v>142</v>
      </c>
      <c r="B127" t="str" cm="1">
        <f t="array" ref="B127:D127">_xlfn.TEXTSPLIT(A127," ")</f>
        <v>3535144327</v>
      </c>
      <c r="C127" t="str">
        <v>2302019931</v>
      </c>
      <c r="D127" t="str">
        <v>523559015</v>
      </c>
      <c r="E127" s="9">
        <f t="shared" si="28"/>
        <v>2302019931</v>
      </c>
      <c r="F127" s="9">
        <f t="shared" si="28"/>
        <v>523559015</v>
      </c>
      <c r="G127" s="9">
        <f t="shared" si="25"/>
        <v>2825578945</v>
      </c>
      <c r="I127">
        <f t="shared" si="27"/>
        <v>3535144327</v>
      </c>
      <c r="J127">
        <f t="shared" si="26"/>
        <v>4058703341</v>
      </c>
    </row>
    <row r="128" spans="1:14">
      <c r="A128" s="3" t="s">
        <v>143</v>
      </c>
      <c r="B128" t="str" cm="1">
        <f t="array" ref="B128:D128">_xlfn.TEXTSPLIT(A128," ")</f>
        <v>3065067010</v>
      </c>
      <c r="C128" t="str">
        <v>1914819040</v>
      </c>
      <c r="D128" t="str">
        <v>6549213</v>
      </c>
      <c r="E128" s="9">
        <f t="shared" si="28"/>
        <v>1914819040</v>
      </c>
      <c r="F128" s="9">
        <f t="shared" si="28"/>
        <v>6549213</v>
      </c>
      <c r="G128" s="9">
        <f t="shared" si="25"/>
        <v>1921368252</v>
      </c>
      <c r="I128">
        <f t="shared" si="27"/>
        <v>3065067010</v>
      </c>
      <c r="J128">
        <f t="shared" si="26"/>
        <v>3071616222</v>
      </c>
    </row>
    <row r="129" spans="1:14">
      <c r="A129" s="3" t="s">
        <v>144</v>
      </c>
      <c r="B129" t="str" cm="1">
        <f t="array" ref="B129:D129">_xlfn.TEXTSPLIT(A129," ")</f>
        <v>2921361900</v>
      </c>
      <c r="C129" t="str">
        <v>2987856800</v>
      </c>
      <c r="D129" t="str">
        <v>60834620</v>
      </c>
      <c r="E129" s="9">
        <f t="shared" si="28"/>
        <v>2987856800</v>
      </c>
      <c r="F129" s="9">
        <f t="shared" si="28"/>
        <v>60834620</v>
      </c>
      <c r="G129" s="9">
        <f t="shared" si="25"/>
        <v>3048691419</v>
      </c>
      <c r="I129">
        <f t="shared" si="27"/>
        <v>2921361900</v>
      </c>
      <c r="J129">
        <f t="shared" si="26"/>
        <v>2982196519</v>
      </c>
    </row>
    <row r="130" spans="1:14">
      <c r="A130" s="3"/>
    </row>
    <row r="131" spans="1:14">
      <c r="A131" s="3" t="s">
        <v>20</v>
      </c>
      <c r="E131" t="s">
        <v>215</v>
      </c>
      <c r="I131" t="s">
        <v>213</v>
      </c>
      <c r="M131" t="s">
        <v>221</v>
      </c>
    </row>
    <row r="132" spans="1:14">
      <c r="A132" s="3" t="s">
        <v>145</v>
      </c>
      <c r="B132" t="str" cm="1">
        <f t="array" ref="B132:D132">_xlfn.TEXTSPLIT(A132," ")</f>
        <v>19014508</v>
      </c>
      <c r="C132" t="str">
        <v>1616728169</v>
      </c>
      <c r="D132" t="str">
        <v>261978440</v>
      </c>
      <c r="E132" s="11">
        <f t="shared" ref="E132:F162" si="29">VALUE(C132)</f>
        <v>1616728169</v>
      </c>
      <c r="F132" s="9">
        <f t="shared" si="29"/>
        <v>261978440</v>
      </c>
      <c r="G132" s="11">
        <f t="shared" ref="G132:G162" si="30">E132+F132-1</f>
        <v>1878706608</v>
      </c>
      <c r="I132" s="20">
        <f t="shared" ref="I132:I162" si="31">VALUE(B132)</f>
        <v>19014508</v>
      </c>
      <c r="J132" s="6">
        <f t="shared" ref="J132:J161" si="32">I132+F132-1</f>
        <v>280992947</v>
      </c>
      <c r="K132" s="21">
        <f>E$168</f>
        <v>204065059</v>
      </c>
      <c r="L132">
        <f>G$168</f>
        <v>422868594</v>
      </c>
      <c r="M132" s="17">
        <f>E132+K132-I132</f>
        <v>1801778720</v>
      </c>
      <c r="N132" s="10">
        <f>G132</f>
        <v>1878706608</v>
      </c>
    </row>
    <row r="133" spans="1:14">
      <c r="A133" s="3" t="s">
        <v>146</v>
      </c>
      <c r="B133" t="str" cm="1">
        <f t="array" ref="B133:D133">_xlfn.TEXTSPLIT(A133," ")</f>
        <v>479364011</v>
      </c>
      <c r="C133" t="str">
        <v>879054632</v>
      </c>
      <c r="D133" t="str">
        <v>183139707</v>
      </c>
      <c r="E133" s="9">
        <f t="shared" si="29"/>
        <v>879054632</v>
      </c>
      <c r="F133" s="9">
        <f t="shared" si="29"/>
        <v>183139707</v>
      </c>
      <c r="G133" s="9">
        <f t="shared" si="30"/>
        <v>1062194338</v>
      </c>
      <c r="I133">
        <f t="shared" si="31"/>
        <v>479364011</v>
      </c>
      <c r="J133">
        <f t="shared" si="32"/>
        <v>662503717</v>
      </c>
    </row>
    <row r="134" spans="1:14">
      <c r="A134" s="3" t="s">
        <v>147</v>
      </c>
      <c r="B134" t="str" cm="1">
        <f t="array" ref="B134:D134">_xlfn.TEXTSPLIT(A134," ")</f>
        <v>3422279791</v>
      </c>
      <c r="C134" t="str">
        <v>4197415651</v>
      </c>
      <c r="D134" t="str">
        <v>97551645</v>
      </c>
      <c r="E134" s="9">
        <f t="shared" si="29"/>
        <v>4197415651</v>
      </c>
      <c r="F134" s="9">
        <f t="shared" si="29"/>
        <v>97551645</v>
      </c>
      <c r="G134" s="9">
        <f t="shared" si="30"/>
        <v>4294967295</v>
      </c>
      <c r="I134">
        <f t="shared" si="31"/>
        <v>3422279791</v>
      </c>
      <c r="J134">
        <f t="shared" si="32"/>
        <v>3519831435</v>
      </c>
    </row>
    <row r="135" spans="1:14">
      <c r="A135" s="3" t="s">
        <v>148</v>
      </c>
      <c r="B135" t="str" cm="1">
        <f t="array" ref="B135:D135">_xlfn.TEXTSPLIT(A135," ")</f>
        <v>2947838505</v>
      </c>
      <c r="C135" t="str">
        <v>2859883311</v>
      </c>
      <c r="D135" t="str">
        <v>474441286</v>
      </c>
      <c r="E135" s="9">
        <f t="shared" si="29"/>
        <v>2859883311</v>
      </c>
      <c r="F135" s="9">
        <f t="shared" si="29"/>
        <v>474441286</v>
      </c>
      <c r="G135" s="9">
        <f t="shared" si="30"/>
        <v>3334324596</v>
      </c>
      <c r="I135">
        <f t="shared" si="31"/>
        <v>2947838505</v>
      </c>
      <c r="J135">
        <f t="shared" si="32"/>
        <v>3422279790</v>
      </c>
    </row>
    <row r="136" spans="1:14">
      <c r="A136" s="3" t="s">
        <v>149</v>
      </c>
      <c r="B136" t="str" cm="1">
        <f t="array" ref="B136:D136">_xlfn.TEXTSPLIT(A136," ")</f>
        <v>3922771609</v>
      </c>
      <c r="C136" t="str">
        <v>3441941550</v>
      </c>
      <c r="D136" t="str">
        <v>130194267</v>
      </c>
      <c r="E136" s="9">
        <f t="shared" si="29"/>
        <v>3441941550</v>
      </c>
      <c r="F136" s="9">
        <f t="shared" si="29"/>
        <v>130194267</v>
      </c>
      <c r="G136" s="9">
        <f t="shared" si="30"/>
        <v>3572135816</v>
      </c>
      <c r="I136">
        <f t="shared" si="31"/>
        <v>3922771609</v>
      </c>
      <c r="J136">
        <f t="shared" si="32"/>
        <v>4052965875</v>
      </c>
    </row>
    <row r="137" spans="1:14">
      <c r="A137" s="3" t="s">
        <v>150</v>
      </c>
      <c r="B137" t="str" cm="1">
        <f t="array" ref="B137:D137">_xlfn.TEXTSPLIT(A137," ")</f>
        <v>1538347549</v>
      </c>
      <c r="C137" t="str">
        <v>1285663854</v>
      </c>
      <c r="D137" t="str">
        <v>77335299</v>
      </c>
      <c r="E137" s="9">
        <f t="shared" si="29"/>
        <v>1285663854</v>
      </c>
      <c r="F137" s="9">
        <f t="shared" si="29"/>
        <v>77335299</v>
      </c>
      <c r="G137" s="9">
        <f t="shared" si="30"/>
        <v>1362999152</v>
      </c>
      <c r="I137">
        <f t="shared" si="31"/>
        <v>1538347549</v>
      </c>
      <c r="J137">
        <f t="shared" si="32"/>
        <v>1615682847</v>
      </c>
    </row>
    <row r="138" spans="1:14">
      <c r="A138" s="3" t="s">
        <v>151</v>
      </c>
      <c r="B138" t="str" cm="1">
        <f t="array" ref="B138:D138">_xlfn.TEXTSPLIT(A138," ")</f>
        <v>4074125861</v>
      </c>
      <c r="C138" t="str">
        <v>3334324597</v>
      </c>
      <c r="D138" t="str">
        <v>17231539</v>
      </c>
      <c r="E138" s="9">
        <f t="shared" si="29"/>
        <v>3334324597</v>
      </c>
      <c r="F138" s="9">
        <f t="shared" si="29"/>
        <v>17231539</v>
      </c>
      <c r="G138" s="9">
        <f t="shared" si="30"/>
        <v>3351556135</v>
      </c>
      <c r="I138">
        <f t="shared" si="31"/>
        <v>4074125861</v>
      </c>
      <c r="J138">
        <f t="shared" si="32"/>
        <v>4091357399</v>
      </c>
    </row>
    <row r="139" spans="1:14">
      <c r="A139" s="3" t="s">
        <v>152</v>
      </c>
      <c r="B139" t="str" cm="1">
        <f t="array" ref="B139:D139">_xlfn.TEXTSPLIT(A139," ")</f>
        <v>2692139672</v>
      </c>
      <c r="C139" t="str">
        <v>3923798143</v>
      </c>
      <c r="D139" t="str">
        <v>165313419</v>
      </c>
      <c r="E139" s="9">
        <f t="shared" si="29"/>
        <v>3923798143</v>
      </c>
      <c r="F139" s="9">
        <f t="shared" si="29"/>
        <v>165313419</v>
      </c>
      <c r="G139" s="9">
        <f t="shared" si="30"/>
        <v>4089111561</v>
      </c>
      <c r="I139">
        <f t="shared" si="31"/>
        <v>2692139672</v>
      </c>
      <c r="J139">
        <f t="shared" si="32"/>
        <v>2857453090</v>
      </c>
    </row>
    <row r="140" spans="1:14">
      <c r="A140" s="3" t="s">
        <v>153</v>
      </c>
      <c r="B140" t="str" cm="1">
        <f t="array" ref="B140:D140">_xlfn.TEXTSPLIT(A140," ")</f>
        <v>3867887507</v>
      </c>
      <c r="C140" t="str">
        <v>3572135817</v>
      </c>
      <c r="D140" t="str">
        <v>45827004</v>
      </c>
      <c r="E140" s="9">
        <f t="shared" si="29"/>
        <v>3572135817</v>
      </c>
      <c r="F140" s="9">
        <f t="shared" si="29"/>
        <v>45827004</v>
      </c>
      <c r="G140" s="9">
        <f t="shared" si="30"/>
        <v>3617962820</v>
      </c>
      <c r="I140">
        <f t="shared" si="31"/>
        <v>3867887507</v>
      </c>
      <c r="J140">
        <f t="shared" si="32"/>
        <v>3913714510</v>
      </c>
    </row>
    <row r="141" spans="1:14">
      <c r="A141" s="3" t="s">
        <v>154</v>
      </c>
      <c r="B141" t="str" cm="1">
        <f t="array" ref="B141:D141">_xlfn.TEXTSPLIT(A141," ")</f>
        <v>4091357400</v>
      </c>
      <c r="C141" t="str">
        <v>2695950683</v>
      </c>
      <c r="D141" t="str">
        <v>148956394</v>
      </c>
      <c r="E141" s="9">
        <f t="shared" si="29"/>
        <v>2695950683</v>
      </c>
      <c r="F141" s="9">
        <f t="shared" si="29"/>
        <v>148956394</v>
      </c>
      <c r="G141" s="9">
        <f t="shared" si="30"/>
        <v>2844907076</v>
      </c>
      <c r="I141">
        <f t="shared" si="31"/>
        <v>4091357400</v>
      </c>
      <c r="J141">
        <f t="shared" si="32"/>
        <v>4240313793</v>
      </c>
    </row>
    <row r="142" spans="1:14">
      <c r="A142" s="3" t="s">
        <v>155</v>
      </c>
      <c r="B142" t="str" cm="1">
        <f t="array" ref="B142:D142">_xlfn.TEXTSPLIT(A142," ")</f>
        <v>280992948</v>
      </c>
      <c r="C142" t="str">
        <v>874337342</v>
      </c>
      <c r="D142" t="str">
        <v>4717290</v>
      </c>
      <c r="E142" s="9">
        <f t="shared" si="29"/>
        <v>874337342</v>
      </c>
      <c r="F142" s="9">
        <f t="shared" si="29"/>
        <v>4717290</v>
      </c>
      <c r="G142" s="9">
        <f t="shared" si="30"/>
        <v>879054631</v>
      </c>
      <c r="I142" s="6">
        <f t="shared" si="31"/>
        <v>280992948</v>
      </c>
      <c r="J142" s="6">
        <f t="shared" si="32"/>
        <v>285710237</v>
      </c>
      <c r="K142">
        <f>E$168</f>
        <v>204065059</v>
      </c>
      <c r="L142">
        <f>G$168</f>
        <v>422868594</v>
      </c>
      <c r="M142" s="10">
        <f>E142</f>
        <v>874337342</v>
      </c>
      <c r="N142" s="10">
        <f>G142</f>
        <v>879054631</v>
      </c>
    </row>
    <row r="143" spans="1:14">
      <c r="A143" s="3" t="s">
        <v>156</v>
      </c>
      <c r="B143" t="str" cm="1">
        <f t="array" ref="B143:D143">_xlfn.TEXTSPLIT(A143," ")</f>
        <v>3585981058</v>
      </c>
      <c r="C143" t="str">
        <v>4137845928</v>
      </c>
      <c r="D143" t="str">
        <v>59569723</v>
      </c>
      <c r="E143" s="9">
        <f t="shared" si="29"/>
        <v>4137845928</v>
      </c>
      <c r="F143" s="9">
        <f t="shared" si="29"/>
        <v>59569723</v>
      </c>
      <c r="G143" s="9">
        <f t="shared" si="30"/>
        <v>4197415650</v>
      </c>
      <c r="I143">
        <f t="shared" si="31"/>
        <v>3585981058</v>
      </c>
      <c r="J143">
        <f t="shared" si="32"/>
        <v>3645550780</v>
      </c>
      <c r="M143" s="9"/>
      <c r="N143" s="9"/>
    </row>
    <row r="144" spans="1:14">
      <c r="A144" s="3" t="s">
        <v>157</v>
      </c>
      <c r="B144" t="str" cm="1">
        <f t="array" ref="B144:D144">_xlfn.TEXTSPLIT(A144," ")</f>
        <v>1194193608</v>
      </c>
      <c r="C144" t="str">
        <v>267159640</v>
      </c>
      <c r="D144" t="str">
        <v>344153941</v>
      </c>
      <c r="E144" s="9">
        <f t="shared" si="29"/>
        <v>267159640</v>
      </c>
      <c r="F144" s="9">
        <f t="shared" si="29"/>
        <v>344153941</v>
      </c>
      <c r="G144" s="9">
        <f t="shared" si="30"/>
        <v>611313580</v>
      </c>
      <c r="I144">
        <f t="shared" si="31"/>
        <v>1194193608</v>
      </c>
      <c r="J144">
        <f t="shared" si="32"/>
        <v>1538347548</v>
      </c>
      <c r="M144" s="9"/>
      <c r="N144" s="9"/>
    </row>
    <row r="145" spans="1:14">
      <c r="A145" s="3" t="s">
        <v>158</v>
      </c>
      <c r="B145" t="str" cm="1">
        <f t="array" ref="B145:D145">_xlfn.TEXTSPLIT(A145," ")</f>
        <v>3645550781</v>
      </c>
      <c r="C145" t="str">
        <v>2226309992</v>
      </c>
      <c r="D145" t="str">
        <v>39998882</v>
      </c>
      <c r="E145" s="9">
        <f t="shared" si="29"/>
        <v>2226309992</v>
      </c>
      <c r="F145" s="9">
        <f t="shared" si="29"/>
        <v>39998882</v>
      </c>
      <c r="G145" s="9">
        <f t="shared" si="30"/>
        <v>2266308873</v>
      </c>
      <c r="I145">
        <f t="shared" si="31"/>
        <v>3645550781</v>
      </c>
      <c r="J145">
        <f t="shared" si="32"/>
        <v>3685549662</v>
      </c>
      <c r="M145" s="9"/>
      <c r="N145" s="9"/>
    </row>
    <row r="146" spans="1:14">
      <c r="A146" s="3" t="s">
        <v>159</v>
      </c>
      <c r="B146" t="str" cm="1">
        <f t="array" ref="B146:D146">_xlfn.TEXTSPLIT(A146," ")</f>
        <v>2606341883</v>
      </c>
      <c r="C146" t="str">
        <v>3617962821</v>
      </c>
      <c r="D146" t="str">
        <v>85797789</v>
      </c>
      <c r="E146" s="9">
        <f t="shared" si="29"/>
        <v>3617962821</v>
      </c>
      <c r="F146" s="9">
        <f t="shared" si="29"/>
        <v>85797789</v>
      </c>
      <c r="G146" s="9">
        <f t="shared" si="30"/>
        <v>3703760609</v>
      </c>
      <c r="I146">
        <f t="shared" si="31"/>
        <v>2606341883</v>
      </c>
      <c r="J146">
        <f t="shared" si="32"/>
        <v>2692139671</v>
      </c>
      <c r="M146" s="9"/>
      <c r="N146" s="9"/>
    </row>
    <row r="147" spans="1:14">
      <c r="A147" s="3" t="s">
        <v>160</v>
      </c>
      <c r="B147" t="str" cm="1">
        <f t="array" ref="B147:D147">_xlfn.TEXTSPLIT(A147," ")</f>
        <v>2452453972</v>
      </c>
      <c r="C147" t="str">
        <v>3769910232</v>
      </c>
      <c r="D147" t="str">
        <v>153887911</v>
      </c>
      <c r="E147" s="9">
        <f t="shared" si="29"/>
        <v>3769910232</v>
      </c>
      <c r="F147" s="9">
        <f t="shared" si="29"/>
        <v>153887911</v>
      </c>
      <c r="G147" s="9">
        <f t="shared" si="30"/>
        <v>3923798142</v>
      </c>
      <c r="I147">
        <f t="shared" si="31"/>
        <v>2452453972</v>
      </c>
      <c r="J147">
        <f t="shared" si="32"/>
        <v>2606341882</v>
      </c>
      <c r="M147" s="9"/>
      <c r="N147" s="9"/>
    </row>
    <row r="148" spans="1:14">
      <c r="A148" s="3" t="s">
        <v>161</v>
      </c>
      <c r="B148" t="str" cm="1">
        <f t="array" ref="B148:D148">_xlfn.TEXTSPLIT(A148," ")</f>
        <v>4279991062</v>
      </c>
      <c r="C148" t="str">
        <v>2844907077</v>
      </c>
      <c r="D148" t="str">
        <v>14976234</v>
      </c>
      <c r="E148" s="9">
        <f t="shared" si="29"/>
        <v>2844907077</v>
      </c>
      <c r="F148" s="9">
        <f t="shared" si="29"/>
        <v>14976234</v>
      </c>
      <c r="G148" s="9">
        <f t="shared" si="30"/>
        <v>2859883310</v>
      </c>
      <c r="I148">
        <f t="shared" si="31"/>
        <v>4279991062</v>
      </c>
      <c r="J148">
        <f t="shared" si="32"/>
        <v>4294967295</v>
      </c>
      <c r="M148" s="9"/>
      <c r="N148" s="9"/>
    </row>
    <row r="149" spans="1:14">
      <c r="A149" s="3" t="s">
        <v>162</v>
      </c>
      <c r="B149" t="str" cm="1">
        <f t="array" ref="B149:D149">_xlfn.TEXTSPLIT(A149," ")</f>
        <v>4240313794</v>
      </c>
      <c r="C149" t="str">
        <v>4089111562</v>
      </c>
      <c r="D149" t="str">
        <v>39677268</v>
      </c>
      <c r="E149" s="9">
        <f t="shared" si="29"/>
        <v>4089111562</v>
      </c>
      <c r="F149" s="9">
        <f t="shared" si="29"/>
        <v>39677268</v>
      </c>
      <c r="G149" s="9">
        <f t="shared" si="30"/>
        <v>4128788829</v>
      </c>
      <c r="I149">
        <f t="shared" si="31"/>
        <v>4240313794</v>
      </c>
      <c r="J149">
        <f t="shared" si="32"/>
        <v>4279991061</v>
      </c>
      <c r="M149" s="9"/>
      <c r="N149" s="9"/>
    </row>
    <row r="150" spans="1:14">
      <c r="A150" s="3" t="s">
        <v>163</v>
      </c>
      <c r="B150" t="str" cm="1">
        <f t="array" ref="B150:D150">_xlfn.TEXTSPLIT(A150," ")</f>
        <v>285710238</v>
      </c>
      <c r="C150" t="str">
        <v>0</v>
      </c>
      <c r="D150" t="str">
        <v>193653773</v>
      </c>
      <c r="E150" s="9">
        <f t="shared" si="29"/>
        <v>0</v>
      </c>
      <c r="F150" s="9">
        <f t="shared" si="29"/>
        <v>193653773</v>
      </c>
      <c r="G150" s="9">
        <f t="shared" si="30"/>
        <v>193653772</v>
      </c>
      <c r="I150" s="6">
        <f t="shared" si="31"/>
        <v>285710238</v>
      </c>
      <c r="J150" s="20">
        <f t="shared" si="32"/>
        <v>479364010</v>
      </c>
      <c r="K150">
        <f>E$168</f>
        <v>204065059</v>
      </c>
      <c r="L150">
        <f>G$168</f>
        <v>422868594</v>
      </c>
      <c r="M150" s="10">
        <f>E150</f>
        <v>0</v>
      </c>
      <c r="N150" s="10">
        <f>M150+L150-I150</f>
        <v>137158356</v>
      </c>
    </row>
    <row r="151" spans="1:14">
      <c r="A151" s="3" t="s">
        <v>164</v>
      </c>
      <c r="B151" t="str" cm="1">
        <f t="array" ref="B151:D151">_xlfn.TEXTSPLIT(A151," ")</f>
        <v>662503718</v>
      </c>
      <c r="C151" t="str">
        <v>1585706204</v>
      </c>
      <c r="D151" t="str">
        <v>31021965</v>
      </c>
      <c r="E151" s="9">
        <f t="shared" si="29"/>
        <v>1585706204</v>
      </c>
      <c r="F151" s="9">
        <f t="shared" si="29"/>
        <v>31021965</v>
      </c>
      <c r="G151" s="9">
        <f t="shared" si="30"/>
        <v>1616728168</v>
      </c>
      <c r="I151">
        <f t="shared" si="31"/>
        <v>662503718</v>
      </c>
      <c r="J151">
        <f t="shared" si="32"/>
        <v>693525682</v>
      </c>
    </row>
    <row r="152" spans="1:14">
      <c r="A152" s="3" t="s">
        <v>165</v>
      </c>
      <c r="B152" t="str" cm="1">
        <f t="array" ref="B152:D152">_xlfn.TEXTSPLIT(A152," ")</f>
        <v>4052965876</v>
      </c>
      <c r="C152" t="str">
        <v>2266308874</v>
      </c>
      <c r="D152" t="str">
        <v>21159985</v>
      </c>
      <c r="E152" s="9">
        <f t="shared" si="29"/>
        <v>2266308874</v>
      </c>
      <c r="F152" s="9">
        <f t="shared" si="29"/>
        <v>21159985</v>
      </c>
      <c r="G152" s="9">
        <f t="shared" si="30"/>
        <v>2287468858</v>
      </c>
      <c r="I152">
        <f t="shared" si="31"/>
        <v>4052965876</v>
      </c>
      <c r="J152">
        <f t="shared" si="32"/>
        <v>4074125860</v>
      </c>
    </row>
    <row r="153" spans="1:14">
      <c r="A153" s="3" t="s">
        <v>166</v>
      </c>
      <c r="B153" t="str" cm="1">
        <f t="array" ref="B153:D153">_xlfn.TEXTSPLIT(A153," ")</f>
        <v>2226309992</v>
      </c>
      <c r="C153" t="str">
        <v>2287468859</v>
      </c>
      <c r="D153" t="str">
        <v>226143980</v>
      </c>
      <c r="E153" s="9">
        <f t="shared" si="29"/>
        <v>2287468859</v>
      </c>
      <c r="F153" s="9">
        <f t="shared" si="29"/>
        <v>226143980</v>
      </c>
      <c r="G153" s="9">
        <f t="shared" si="30"/>
        <v>2513612838</v>
      </c>
      <c r="I153">
        <f t="shared" si="31"/>
        <v>2226309992</v>
      </c>
      <c r="J153">
        <f t="shared" si="32"/>
        <v>2452453971</v>
      </c>
    </row>
    <row r="154" spans="1:14">
      <c r="A154" s="3" t="s">
        <v>167</v>
      </c>
      <c r="B154" t="str" cm="1">
        <f t="array" ref="B154:D154">_xlfn.TEXTSPLIT(A154," ")</f>
        <v>0</v>
      </c>
      <c r="C154" t="str">
        <v>248145132</v>
      </c>
      <c r="D154" t="str">
        <v>19014508</v>
      </c>
      <c r="E154" s="9">
        <f t="shared" si="29"/>
        <v>248145132</v>
      </c>
      <c r="F154" s="9">
        <f t="shared" si="29"/>
        <v>19014508</v>
      </c>
      <c r="G154" s="9">
        <f t="shared" si="30"/>
        <v>267159639</v>
      </c>
      <c r="I154">
        <f t="shared" si="31"/>
        <v>0</v>
      </c>
      <c r="J154">
        <f t="shared" si="32"/>
        <v>19014507</v>
      </c>
    </row>
    <row r="155" spans="1:14">
      <c r="A155" s="3" t="s">
        <v>168</v>
      </c>
      <c r="B155" t="str" cm="1">
        <f t="array" ref="B155:D155">_xlfn.TEXTSPLIT(A155," ")</f>
        <v>3685549663</v>
      </c>
      <c r="C155" t="str">
        <v>2513612839</v>
      </c>
      <c r="D155" t="str">
        <v>182337844</v>
      </c>
      <c r="E155" s="9">
        <f t="shared" si="29"/>
        <v>2513612839</v>
      </c>
      <c r="F155" s="9">
        <f t="shared" si="29"/>
        <v>182337844</v>
      </c>
      <c r="G155" s="9">
        <f t="shared" si="30"/>
        <v>2695950682</v>
      </c>
      <c r="I155">
        <f t="shared" si="31"/>
        <v>3685549663</v>
      </c>
      <c r="J155">
        <f t="shared" si="32"/>
        <v>3867887506</v>
      </c>
    </row>
    <row r="156" spans="1:14">
      <c r="A156" s="3" t="s">
        <v>169</v>
      </c>
      <c r="B156" t="str" cm="1">
        <f t="array" ref="B156:D156">_xlfn.TEXTSPLIT(A156," ")</f>
        <v>2857453091</v>
      </c>
      <c r="C156" t="str">
        <v>3351556136</v>
      </c>
      <c r="D156" t="str">
        <v>90385414</v>
      </c>
      <c r="E156" s="9">
        <f t="shared" si="29"/>
        <v>3351556136</v>
      </c>
      <c r="F156" s="9">
        <f t="shared" si="29"/>
        <v>90385414</v>
      </c>
      <c r="G156" s="9">
        <f t="shared" si="30"/>
        <v>3441941549</v>
      </c>
      <c r="I156">
        <f t="shared" si="31"/>
        <v>2857453091</v>
      </c>
      <c r="J156">
        <f t="shared" si="32"/>
        <v>2947838504</v>
      </c>
    </row>
    <row r="157" spans="1:14">
      <c r="A157" s="3" t="s">
        <v>170</v>
      </c>
      <c r="B157" t="str" cm="1">
        <f t="array" ref="B157:D157">_xlfn.TEXTSPLIT(A157," ")</f>
        <v>1139702249</v>
      </c>
      <c r="C157" t="str">
        <v>193653773</v>
      </c>
      <c r="D157" t="str">
        <v>54491359</v>
      </c>
      <c r="E157" s="9">
        <f t="shared" si="29"/>
        <v>193653773</v>
      </c>
      <c r="F157" s="9">
        <f t="shared" si="29"/>
        <v>54491359</v>
      </c>
      <c r="G157" s="9">
        <f t="shared" si="30"/>
        <v>248145131</v>
      </c>
      <c r="I157">
        <f t="shared" si="31"/>
        <v>1139702249</v>
      </c>
      <c r="J157">
        <f t="shared" si="32"/>
        <v>1194193607</v>
      </c>
    </row>
    <row r="158" spans="1:14">
      <c r="A158" s="3" t="s">
        <v>171</v>
      </c>
      <c r="B158" t="str" cm="1">
        <f t="array" ref="B158:D158">_xlfn.TEXTSPLIT(A158," ")</f>
        <v>3913714511</v>
      </c>
      <c r="C158" t="str">
        <v>4128788830</v>
      </c>
      <c r="D158" t="str">
        <v>9057098</v>
      </c>
      <c r="E158" s="9">
        <f t="shared" si="29"/>
        <v>4128788830</v>
      </c>
      <c r="F158" s="9">
        <f t="shared" si="29"/>
        <v>9057098</v>
      </c>
      <c r="G158" s="9">
        <f t="shared" si="30"/>
        <v>4137845927</v>
      </c>
      <c r="I158">
        <f t="shared" si="31"/>
        <v>3913714511</v>
      </c>
      <c r="J158">
        <f t="shared" si="32"/>
        <v>3922771608</v>
      </c>
    </row>
    <row r="159" spans="1:14">
      <c r="A159" s="3" t="s">
        <v>172</v>
      </c>
      <c r="B159" s="9" t="str" cm="1">
        <f t="array" ref="B159:D159">_xlfn.TEXTSPLIT(A159," ")</f>
        <v>916232734</v>
      </c>
      <c r="C159" t="str">
        <v>1062194339</v>
      </c>
      <c r="D159" t="str">
        <v>223469515</v>
      </c>
      <c r="E159" s="9">
        <f t="shared" si="29"/>
        <v>1062194339</v>
      </c>
      <c r="F159" s="9">
        <f t="shared" si="29"/>
        <v>223469515</v>
      </c>
      <c r="G159" s="9">
        <f t="shared" si="30"/>
        <v>1285663853</v>
      </c>
      <c r="I159">
        <f t="shared" si="31"/>
        <v>916232734</v>
      </c>
      <c r="J159">
        <f t="shared" si="32"/>
        <v>1139702248</v>
      </c>
    </row>
    <row r="160" spans="1:14">
      <c r="A160" s="3" t="s">
        <v>173</v>
      </c>
      <c r="B160" t="str" cm="1">
        <f t="array" ref="B160:D160">_xlfn.TEXTSPLIT(A160," ")</f>
        <v>1615682848</v>
      </c>
      <c r="C160" t="str">
        <v>611313581</v>
      </c>
      <c r="D160" t="str">
        <v>263023761</v>
      </c>
      <c r="E160" s="9">
        <f t="shared" si="29"/>
        <v>611313581</v>
      </c>
      <c r="F160" s="9">
        <f t="shared" si="29"/>
        <v>263023761</v>
      </c>
      <c r="G160" s="9">
        <f t="shared" si="30"/>
        <v>874337341</v>
      </c>
      <c r="I160">
        <f t="shared" si="31"/>
        <v>1615682848</v>
      </c>
      <c r="J160">
        <f t="shared" si="32"/>
        <v>1878706608</v>
      </c>
    </row>
    <row r="161" spans="1:14">
      <c r="A161" s="3" t="s">
        <v>174</v>
      </c>
      <c r="B161" t="str" cm="1">
        <f t="array" ref="B161:D161">_xlfn.TEXTSPLIT(A161," ")</f>
        <v>693525683</v>
      </c>
      <c r="C161" t="str">
        <v>1362999153</v>
      </c>
      <c r="D161" t="str">
        <v>222707051</v>
      </c>
      <c r="E161" s="9">
        <f t="shared" si="29"/>
        <v>1362999153</v>
      </c>
      <c r="F161" s="9">
        <f t="shared" si="29"/>
        <v>222707051</v>
      </c>
      <c r="G161" s="9">
        <f t="shared" si="30"/>
        <v>1585706203</v>
      </c>
      <c r="I161">
        <f t="shared" si="31"/>
        <v>693525683</v>
      </c>
      <c r="J161">
        <f t="shared" si="32"/>
        <v>916232733</v>
      </c>
    </row>
    <row r="162" spans="1:14">
      <c r="A162" s="3" t="s">
        <v>175</v>
      </c>
      <c r="B162" t="str" cm="1">
        <f t="array" ref="B162:D162">_xlfn.TEXTSPLIT(A162," ")</f>
        <v>3519831436</v>
      </c>
      <c r="C162" t="str">
        <v>3703760610</v>
      </c>
      <c r="D162" t="str">
        <v>66149622</v>
      </c>
      <c r="E162" s="9">
        <f t="shared" si="29"/>
        <v>3703760610</v>
      </c>
      <c r="F162" s="9">
        <f t="shared" si="29"/>
        <v>66149622</v>
      </c>
      <c r="G162" s="9">
        <f t="shared" si="30"/>
        <v>3769910231</v>
      </c>
      <c r="I162">
        <f t="shared" si="31"/>
        <v>3519831436</v>
      </c>
      <c r="J162">
        <f>I162+F162-1</f>
        <v>3585981057</v>
      </c>
    </row>
    <row r="163" spans="1:14">
      <c r="A163" s="3"/>
    </row>
    <row r="164" spans="1:14">
      <c r="A164" s="3" t="s">
        <v>23</v>
      </c>
      <c r="E164" t="s">
        <v>213</v>
      </c>
      <c r="I164" t="s">
        <v>214</v>
      </c>
    </row>
    <row r="165" spans="1:14">
      <c r="A165" s="3" t="s">
        <v>176</v>
      </c>
      <c r="B165" t="str" cm="1">
        <f t="array" ref="B165:D165">_xlfn.TEXTSPLIT(A165," ")</f>
        <v>3722067319</v>
      </c>
      <c r="C165" t="str">
        <v>3568864729</v>
      </c>
      <c r="D165" t="str">
        <v>46052123</v>
      </c>
      <c r="E165" s="9">
        <f t="shared" ref="E165:F170" si="33">VALUE(C165)</f>
        <v>3568864729</v>
      </c>
      <c r="F165" s="9">
        <f t="shared" si="33"/>
        <v>46052123</v>
      </c>
      <c r="G165" s="9">
        <f t="shared" ref="G165:G170" si="34">E165+F165-1</f>
        <v>3614916851</v>
      </c>
      <c r="I165">
        <f>VALUE(B165)</f>
        <v>3722067319</v>
      </c>
      <c r="J165">
        <f>I165+F165-1</f>
        <v>3768119441</v>
      </c>
    </row>
    <row r="166" spans="1:14">
      <c r="A166" s="3" t="s">
        <v>177</v>
      </c>
      <c r="B166" t="str" cm="1">
        <f t="array" ref="B166:D166">_xlfn.TEXTSPLIT(A166," ")</f>
        <v>761939125</v>
      </c>
      <c r="C166" t="str">
        <v>1263883488</v>
      </c>
      <c r="D166" t="str">
        <v>182519766</v>
      </c>
      <c r="E166" s="9">
        <f t="shared" si="33"/>
        <v>1263883488</v>
      </c>
      <c r="F166" s="9">
        <f t="shared" si="33"/>
        <v>182519766</v>
      </c>
      <c r="G166" s="9">
        <f t="shared" si="34"/>
        <v>1446403253</v>
      </c>
      <c r="I166">
        <f t="shared" ref="I166:I188" si="35">VALUE(B166)</f>
        <v>761939125</v>
      </c>
      <c r="J166">
        <f t="shared" ref="J166:J188" si="36">I166+F166-1</f>
        <v>944458890</v>
      </c>
    </row>
    <row r="167" spans="1:14">
      <c r="A167" s="3" t="s">
        <v>178</v>
      </c>
      <c r="B167" t="str" cm="1">
        <f t="array" ref="B167:D167">_xlfn.TEXTSPLIT(A167," ")</f>
        <v>3952597071</v>
      </c>
      <c r="C167" t="str">
        <v>3400791743</v>
      </c>
      <c r="D167" t="str">
        <v>168072986</v>
      </c>
      <c r="E167" s="9">
        <f t="shared" si="33"/>
        <v>3400791743</v>
      </c>
      <c r="F167" s="9">
        <f t="shared" si="33"/>
        <v>168072986</v>
      </c>
      <c r="G167" s="9">
        <f t="shared" si="34"/>
        <v>3568864728</v>
      </c>
      <c r="I167">
        <f t="shared" si="35"/>
        <v>3952597071</v>
      </c>
      <c r="J167">
        <f t="shared" si="36"/>
        <v>4120670056</v>
      </c>
      <c r="M167" t="s">
        <v>232</v>
      </c>
    </row>
    <row r="168" spans="1:14">
      <c r="A168" s="5" t="s">
        <v>179</v>
      </c>
      <c r="B168" s="17" t="str" cm="1">
        <f t="array" ref="B168:D168">_xlfn.TEXTSPLIT(A168," ")</f>
        <v>1928058</v>
      </c>
      <c r="C168" t="str">
        <v>204065059</v>
      </c>
      <c r="D168" t="str">
        <v>218803536</v>
      </c>
      <c r="E168" s="6">
        <f t="shared" si="33"/>
        <v>204065059</v>
      </c>
      <c r="F168">
        <f t="shared" si="33"/>
        <v>218803536</v>
      </c>
      <c r="G168" s="6">
        <f t="shared" si="34"/>
        <v>422868594</v>
      </c>
      <c r="I168" s="7">
        <f t="shared" si="35"/>
        <v>1928058</v>
      </c>
      <c r="J168" s="7">
        <f t="shared" si="36"/>
        <v>220731593</v>
      </c>
      <c r="M168" s="17">
        <f>E168</f>
        <v>204065059</v>
      </c>
      <c r="N168">
        <f>G168</f>
        <v>422868594</v>
      </c>
    </row>
    <row r="169" spans="1:14">
      <c r="A169" s="3" t="s">
        <v>180</v>
      </c>
      <c r="B169" t="str" cm="1">
        <f t="array" ref="B169:D169">_xlfn.TEXTSPLIT(A169," ")</f>
        <v>1797120632</v>
      </c>
      <c r="C169" t="str">
        <v>863951513</v>
      </c>
      <c r="D169" t="str">
        <v>248903371</v>
      </c>
      <c r="E169" s="9">
        <f t="shared" si="33"/>
        <v>863951513</v>
      </c>
      <c r="F169" s="9">
        <f t="shared" si="33"/>
        <v>248903371</v>
      </c>
      <c r="G169" s="9">
        <f t="shared" si="34"/>
        <v>1112854883</v>
      </c>
      <c r="I169">
        <f t="shared" si="35"/>
        <v>1797120632</v>
      </c>
      <c r="J169">
        <f t="shared" si="36"/>
        <v>2046024002</v>
      </c>
    </row>
    <row r="170" spans="1:14">
      <c r="A170" s="3" t="s">
        <v>181</v>
      </c>
      <c r="B170" t="str" cm="1">
        <f t="array" ref="B170:D170">_xlfn.TEXTSPLIT(A170," ")</f>
        <v>3409129274</v>
      </c>
      <c r="C170" t="str">
        <v>3614916852</v>
      </c>
      <c r="D170" t="str">
        <v>109595510</v>
      </c>
      <c r="E170" s="9">
        <f t="shared" si="33"/>
        <v>3614916852</v>
      </c>
      <c r="F170" s="9">
        <f t="shared" si="33"/>
        <v>109595510</v>
      </c>
      <c r="G170" s="9">
        <f t="shared" si="34"/>
        <v>3724512361</v>
      </c>
      <c r="I170">
        <f t="shared" si="35"/>
        <v>3409129274</v>
      </c>
      <c r="J170">
        <f t="shared" si="36"/>
        <v>3518724783</v>
      </c>
    </row>
    <row r="171" spans="1:14">
      <c r="A171" s="3" t="s">
        <v>182</v>
      </c>
      <c r="B171" t="str" cm="1">
        <f t="array" ref="B171:D171">_xlfn.TEXTSPLIT(A171," ")</f>
        <v>0</v>
      </c>
      <c r="C171" t="str">
        <v>1261955430</v>
      </c>
      <c r="D171" t="str">
        <v>1928058</v>
      </c>
      <c r="E171" s="9">
        <f>VALUE(C171)</f>
        <v>1261955430</v>
      </c>
      <c r="F171" s="9">
        <f>VALUE(D171)</f>
        <v>1928058</v>
      </c>
      <c r="G171" s="9">
        <f>E171+F171-1</f>
        <v>1263883487</v>
      </c>
      <c r="I171">
        <f t="shared" si="35"/>
        <v>0</v>
      </c>
      <c r="J171">
        <f t="shared" si="36"/>
        <v>1928057</v>
      </c>
    </row>
    <row r="172" spans="1:14">
      <c r="A172" s="3" t="s">
        <v>183</v>
      </c>
      <c r="B172" t="str" cm="1">
        <f t="array" ref="B172:D172">_xlfn.TEXTSPLIT(A172," ")</f>
        <v>3854871689</v>
      </c>
      <c r="C172" t="str">
        <v>2940386871</v>
      </c>
      <c r="D172" t="str">
        <v>97725382</v>
      </c>
      <c r="E172" s="9">
        <f t="shared" ref="E172:F187" si="37">VALUE(C172)</f>
        <v>2940386871</v>
      </c>
      <c r="F172" s="9">
        <f t="shared" si="37"/>
        <v>97725382</v>
      </c>
      <c r="G172" s="9">
        <f t="shared" ref="G172:G188" si="38">E172+F172-1</f>
        <v>3038112252</v>
      </c>
      <c r="I172">
        <f t="shared" si="35"/>
        <v>3854871689</v>
      </c>
      <c r="J172">
        <f t="shared" si="36"/>
        <v>3952597070</v>
      </c>
    </row>
    <row r="173" spans="1:14">
      <c r="A173" s="3" t="s">
        <v>184</v>
      </c>
      <c r="B173" t="str" cm="1">
        <f t="array" ref="B173:D173">_xlfn.TEXTSPLIT(A173," ")</f>
        <v>3518724784</v>
      </c>
      <c r="C173" t="str">
        <v>3898809601</v>
      </c>
      <c r="D173" t="str">
        <v>159455982</v>
      </c>
      <c r="E173" s="9">
        <f t="shared" si="37"/>
        <v>3898809601</v>
      </c>
      <c r="F173" s="9">
        <f t="shared" si="37"/>
        <v>159455982</v>
      </c>
      <c r="G173" s="9">
        <f t="shared" si="38"/>
        <v>4058265582</v>
      </c>
      <c r="I173">
        <f t="shared" si="35"/>
        <v>3518724784</v>
      </c>
      <c r="J173">
        <f t="shared" si="36"/>
        <v>3678180765</v>
      </c>
    </row>
    <row r="174" spans="1:14">
      <c r="A174" s="3" t="s">
        <v>185</v>
      </c>
      <c r="B174" t="str" cm="1">
        <f t="array" ref="B174:D174">_xlfn.TEXTSPLIT(A174," ")</f>
        <v>220731594</v>
      </c>
      <c r="C174" t="str">
        <v>1446403254</v>
      </c>
      <c r="D174" t="str">
        <v>100124613</v>
      </c>
      <c r="E174" s="9">
        <f t="shared" si="37"/>
        <v>1446403254</v>
      </c>
      <c r="F174" s="9">
        <f t="shared" si="37"/>
        <v>100124613</v>
      </c>
      <c r="G174" s="9">
        <f t="shared" si="38"/>
        <v>1546527866</v>
      </c>
      <c r="I174">
        <f t="shared" si="35"/>
        <v>220731594</v>
      </c>
      <c r="J174">
        <f t="shared" si="36"/>
        <v>320856206</v>
      </c>
    </row>
    <row r="175" spans="1:14">
      <c r="A175" s="3" t="s">
        <v>186</v>
      </c>
      <c r="B175" t="str" cm="1">
        <f t="array" ref="B175:D175">_xlfn.TEXTSPLIT(A175," ")</f>
        <v>944458891</v>
      </c>
      <c r="C175" t="str">
        <v>1813379640</v>
      </c>
      <c r="D175" t="str">
        <v>207908225</v>
      </c>
      <c r="E175" s="9">
        <f t="shared" si="37"/>
        <v>1813379640</v>
      </c>
      <c r="F175" s="9">
        <f t="shared" si="37"/>
        <v>207908225</v>
      </c>
      <c r="G175" s="9">
        <f t="shared" si="38"/>
        <v>2021287864</v>
      </c>
      <c r="I175">
        <f t="shared" si="35"/>
        <v>944458891</v>
      </c>
      <c r="J175">
        <f t="shared" si="36"/>
        <v>1152367115</v>
      </c>
    </row>
    <row r="176" spans="1:14">
      <c r="A176" s="3" t="s">
        <v>187</v>
      </c>
      <c r="B176" t="str" cm="1">
        <f t="array" ref="B176:D176">_xlfn.TEXTSPLIT(A176," ")</f>
        <v>3194065032</v>
      </c>
      <c r="C176" t="str">
        <v>4058265583</v>
      </c>
      <c r="D176" t="str">
        <v>117770911</v>
      </c>
      <c r="E176" s="9">
        <f t="shared" si="37"/>
        <v>4058265583</v>
      </c>
      <c r="F176" s="9">
        <f t="shared" si="37"/>
        <v>117770911</v>
      </c>
      <c r="G176" s="9">
        <f t="shared" si="38"/>
        <v>4176036493</v>
      </c>
      <c r="I176">
        <f t="shared" si="35"/>
        <v>3194065032</v>
      </c>
      <c r="J176">
        <f t="shared" si="36"/>
        <v>3311835942</v>
      </c>
    </row>
    <row r="177" spans="1:10">
      <c r="A177" s="3" t="s">
        <v>188</v>
      </c>
      <c r="B177" t="str" cm="1">
        <f t="array" ref="B177:D177">_xlfn.TEXTSPLIT(A177," ")</f>
        <v>3059317673</v>
      </c>
      <c r="C177" t="str">
        <v>3222157831</v>
      </c>
      <c r="D177" t="str">
        <v>134747359</v>
      </c>
      <c r="E177" s="9">
        <f t="shared" si="37"/>
        <v>3222157831</v>
      </c>
      <c r="F177" s="9">
        <f t="shared" si="37"/>
        <v>134747359</v>
      </c>
      <c r="G177" s="9">
        <f t="shared" si="38"/>
        <v>3356905189</v>
      </c>
      <c r="I177">
        <f t="shared" si="35"/>
        <v>3059317673</v>
      </c>
      <c r="J177">
        <f t="shared" si="36"/>
        <v>3194065031</v>
      </c>
    </row>
    <row r="178" spans="1:10">
      <c r="A178" s="3" t="s">
        <v>189</v>
      </c>
      <c r="B178" t="str" cm="1">
        <f t="array" ref="B178:D178">_xlfn.TEXTSPLIT(A178," ")</f>
        <v>3678180766</v>
      </c>
      <c r="C178" t="str">
        <v>3356905190</v>
      </c>
      <c r="D178" t="str">
        <v>43886553</v>
      </c>
      <c r="E178" s="9">
        <f t="shared" si="37"/>
        <v>3356905190</v>
      </c>
      <c r="F178" s="9">
        <f t="shared" si="37"/>
        <v>43886553</v>
      </c>
      <c r="G178" s="9">
        <f t="shared" si="38"/>
        <v>3400791742</v>
      </c>
      <c r="I178">
        <f t="shared" si="35"/>
        <v>3678180766</v>
      </c>
      <c r="J178">
        <f t="shared" si="36"/>
        <v>3722067318</v>
      </c>
    </row>
    <row r="179" spans="1:10">
      <c r="A179" s="3" t="s">
        <v>190</v>
      </c>
      <c r="B179" t="str" cm="1">
        <f t="array" ref="B179:D179">_xlfn.TEXTSPLIT(A179," ")</f>
        <v>3375153977</v>
      </c>
      <c r="C179" t="str">
        <v>3124864500</v>
      </c>
      <c r="D179" t="str">
        <v>33975297</v>
      </c>
      <c r="E179" s="9">
        <f t="shared" si="37"/>
        <v>3124864500</v>
      </c>
      <c r="F179" s="9">
        <f t="shared" si="37"/>
        <v>33975297</v>
      </c>
      <c r="G179" s="9">
        <f t="shared" si="38"/>
        <v>3158839796</v>
      </c>
      <c r="I179">
        <f t="shared" si="35"/>
        <v>3375153977</v>
      </c>
      <c r="J179">
        <f t="shared" si="36"/>
        <v>3409129273</v>
      </c>
    </row>
    <row r="180" spans="1:10">
      <c r="A180" s="3" t="s">
        <v>191</v>
      </c>
      <c r="B180" t="str" cm="1">
        <f t="array" ref="B180:D180">_xlfn.TEXTSPLIT(A180," ")</f>
        <v>2940386871</v>
      </c>
      <c r="C180" t="str">
        <v>4176036494</v>
      </c>
      <c r="D180" t="str">
        <v>118930802</v>
      </c>
      <c r="E180" s="9">
        <f t="shared" si="37"/>
        <v>4176036494</v>
      </c>
      <c r="F180" s="9">
        <f t="shared" si="37"/>
        <v>118930802</v>
      </c>
      <c r="G180" s="9">
        <f t="shared" si="38"/>
        <v>4294967295</v>
      </c>
      <c r="I180">
        <f t="shared" si="35"/>
        <v>2940386871</v>
      </c>
      <c r="J180">
        <f t="shared" si="36"/>
        <v>3059317672</v>
      </c>
    </row>
    <row r="181" spans="1:10">
      <c r="A181" s="3" t="s">
        <v>192</v>
      </c>
      <c r="B181" t="str" cm="1">
        <f t="array" ref="B181:D181">_xlfn.TEXTSPLIT(A181," ")</f>
        <v>1152367116</v>
      </c>
      <c r="C181" t="str">
        <v>2021287865</v>
      </c>
      <c r="D181" t="str">
        <v>24736138</v>
      </c>
      <c r="E181" s="9">
        <f t="shared" si="37"/>
        <v>2021287865</v>
      </c>
      <c r="F181" s="9">
        <f t="shared" si="37"/>
        <v>24736138</v>
      </c>
      <c r="G181" s="9">
        <f t="shared" si="38"/>
        <v>2046024002</v>
      </c>
      <c r="I181">
        <f t="shared" si="35"/>
        <v>1152367116</v>
      </c>
      <c r="J181">
        <f t="shared" si="36"/>
        <v>1177103253</v>
      </c>
    </row>
    <row r="182" spans="1:10">
      <c r="A182" s="3" t="s">
        <v>193</v>
      </c>
      <c r="B182" t="str" cm="1">
        <f t="array" ref="B182:D182">_xlfn.TEXTSPLIT(A182," ")</f>
        <v>3311835943</v>
      </c>
      <c r="C182" t="str">
        <v>3158839797</v>
      </c>
      <c r="D182" t="str">
        <v>63318034</v>
      </c>
      <c r="E182" s="9">
        <f t="shared" si="37"/>
        <v>3158839797</v>
      </c>
      <c r="F182" s="9">
        <f t="shared" si="37"/>
        <v>63318034</v>
      </c>
      <c r="G182" s="9">
        <f t="shared" si="38"/>
        <v>3222157830</v>
      </c>
      <c r="I182">
        <f t="shared" si="35"/>
        <v>3311835943</v>
      </c>
      <c r="J182">
        <f t="shared" si="36"/>
        <v>3375153976</v>
      </c>
    </row>
    <row r="183" spans="1:10">
      <c r="A183" s="3" t="s">
        <v>194</v>
      </c>
      <c r="B183" t="str" cm="1">
        <f t="array" ref="B183:D183">_xlfn.TEXTSPLIT(A183," ")</f>
        <v>320856207</v>
      </c>
      <c r="C183" t="str">
        <v>422868595</v>
      </c>
      <c r="D183" t="str">
        <v>441082918</v>
      </c>
      <c r="E183" s="9">
        <f t="shared" si="37"/>
        <v>422868595</v>
      </c>
      <c r="F183" s="9">
        <f t="shared" si="37"/>
        <v>441082918</v>
      </c>
      <c r="G183" s="9">
        <f t="shared" si="38"/>
        <v>863951512</v>
      </c>
      <c r="I183">
        <f t="shared" si="35"/>
        <v>320856207</v>
      </c>
      <c r="J183">
        <f t="shared" si="36"/>
        <v>761939124</v>
      </c>
    </row>
    <row r="184" spans="1:10">
      <c r="A184" s="3" t="s">
        <v>195</v>
      </c>
      <c r="B184" t="str" cm="1">
        <f t="array" ref="B184:D184">_xlfn.TEXTSPLIT(A184," ")</f>
        <v>1593055573</v>
      </c>
      <c r="C184" t="str">
        <v>0</v>
      </c>
      <c r="D184" t="str">
        <v>204065059</v>
      </c>
      <c r="E184" s="9">
        <f t="shared" si="37"/>
        <v>0</v>
      </c>
      <c r="F184" s="9">
        <f t="shared" si="37"/>
        <v>204065059</v>
      </c>
      <c r="G184" s="9">
        <f t="shared" si="38"/>
        <v>204065058</v>
      </c>
      <c r="I184">
        <f t="shared" si="35"/>
        <v>1593055573</v>
      </c>
      <c r="J184">
        <f t="shared" si="36"/>
        <v>1797120631</v>
      </c>
    </row>
    <row r="185" spans="1:10">
      <c r="A185" s="3" t="s">
        <v>196</v>
      </c>
      <c r="B185" t="str" cm="1">
        <f t="array" ref="B185:D185">_xlfn.TEXTSPLIT(A185," ")</f>
        <v>4120670057</v>
      </c>
      <c r="C185" t="str">
        <v>3724512362</v>
      </c>
      <c r="D185" t="str">
        <v>174297239</v>
      </c>
      <c r="E185" s="9">
        <f t="shared" si="37"/>
        <v>3724512362</v>
      </c>
      <c r="F185" s="9">
        <f t="shared" si="37"/>
        <v>174297239</v>
      </c>
      <c r="G185" s="9">
        <f t="shared" si="38"/>
        <v>3898809600</v>
      </c>
      <c r="I185">
        <f t="shared" si="35"/>
        <v>4120670057</v>
      </c>
      <c r="J185">
        <f t="shared" si="36"/>
        <v>4294967295</v>
      </c>
    </row>
    <row r="186" spans="1:10">
      <c r="A186" s="3" t="s">
        <v>197</v>
      </c>
      <c r="B186" t="str" cm="1">
        <f t="array" ref="B186:D186">_xlfn.TEXTSPLIT(A186," ")</f>
        <v>1177103254</v>
      </c>
      <c r="C186" t="str">
        <v>1112854884</v>
      </c>
      <c r="D186" t="str">
        <v>149100546</v>
      </c>
      <c r="E186" s="9">
        <f t="shared" si="37"/>
        <v>1112854884</v>
      </c>
      <c r="F186" s="9">
        <f t="shared" si="37"/>
        <v>149100546</v>
      </c>
      <c r="G186" s="9">
        <f t="shared" si="38"/>
        <v>1261955429</v>
      </c>
      <c r="I186">
        <f t="shared" si="35"/>
        <v>1177103254</v>
      </c>
      <c r="J186">
        <f t="shared" si="36"/>
        <v>1326203799</v>
      </c>
    </row>
    <row r="187" spans="1:10">
      <c r="A187" s="3" t="s">
        <v>198</v>
      </c>
      <c r="B187" t="str" cm="1">
        <f t="array" ref="B187:D187">_xlfn.TEXTSPLIT(A187," ")</f>
        <v>1326203800</v>
      </c>
      <c r="C187" t="str">
        <v>1546527867</v>
      </c>
      <c r="D187" t="str">
        <v>266851773</v>
      </c>
      <c r="E187" s="9">
        <f t="shared" si="37"/>
        <v>1546527867</v>
      </c>
      <c r="F187" s="9">
        <f t="shared" si="37"/>
        <v>266851773</v>
      </c>
      <c r="G187" s="9">
        <f t="shared" si="38"/>
        <v>1813379639</v>
      </c>
      <c r="I187">
        <f t="shared" si="35"/>
        <v>1326203800</v>
      </c>
      <c r="J187">
        <f t="shared" si="36"/>
        <v>1593055572</v>
      </c>
    </row>
    <row r="188" spans="1:10">
      <c r="A188" s="3" t="s">
        <v>199</v>
      </c>
      <c r="B188" t="str" cm="1">
        <f t="array" ref="B188:D188">_xlfn.TEXTSPLIT(A188," ")</f>
        <v>3768119442</v>
      </c>
      <c r="C188" t="str">
        <v>3038112253</v>
      </c>
      <c r="D188" t="str">
        <v>86752247</v>
      </c>
      <c r="E188" s="9">
        <f t="shared" ref="E188:F188" si="39">VALUE(C188)</f>
        <v>3038112253</v>
      </c>
      <c r="F188" s="9">
        <f t="shared" si="39"/>
        <v>86752247</v>
      </c>
      <c r="G188" s="9">
        <f t="shared" si="38"/>
        <v>3124864499</v>
      </c>
      <c r="I188">
        <f t="shared" si="35"/>
        <v>3768119442</v>
      </c>
      <c r="J188">
        <f t="shared" si="36"/>
        <v>3854871688</v>
      </c>
    </row>
    <row r="189" spans="1:10">
      <c r="A189" s="1"/>
    </row>
    <row r="190" spans="1:10">
      <c r="A190" s="1"/>
    </row>
    <row r="191" spans="1:10">
      <c r="A191" s="1"/>
    </row>
    <row r="192" spans="1:10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Sample1</vt:lpstr>
      <vt:lpstr>Sample2</vt:lpstr>
      <vt:lpstr>Sample2 (manual)</vt:lpstr>
      <vt:lpstr>Part1</vt:lpstr>
      <vt:lpstr>Part2</vt:lpstr>
      <vt:lpstr>Part2 best (manual)</vt:lpstr>
      <vt:lpstr>Part2 nxt best (solved)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Dawn, Tim (JSC-EG511)</dc:creator>
  <cp:lastModifiedBy>Dawn, Tim (JSC-EG511)</cp:lastModifiedBy>
  <dcterms:created xsi:type="dcterms:W3CDTF">2022-12-08T02:39:42Z</dcterms:created>
  <dcterms:modified xsi:type="dcterms:W3CDTF">2023-12-06T18:09:56Z</dcterms:modified>
</cp:coreProperties>
</file>